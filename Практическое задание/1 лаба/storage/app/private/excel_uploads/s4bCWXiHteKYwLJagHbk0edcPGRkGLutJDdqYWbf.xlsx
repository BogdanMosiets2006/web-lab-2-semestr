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карточк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<sst xmlns="http://schemas.openxmlformats.org/spreadsheetml/2006/main" count="118" uniqueCount="65">
  <si>
    <t>КАРТОЧКА РАСПРЕДЕЛЕНИЯ УЧЕБНОЙ РАБОТЫ ПРЕПОДАВАТЕЛЯ НА УЧЕБНЫЙ ГОД</t>
  </si>
  <si>
    <t xml:space="preserve">           Кафедра компьютерных технологий, Гукай Алексей Евгеньевич, ст.преподаватель</t>
  </si>
  <si>
    <t>НАГРУЗКА НА 2025/2026 УЧЕБНЫЙ ГОД</t>
  </si>
  <si>
    <t>№ п/п</t>
  </si>
  <si>
    <t>НАЗВАНИЕ УЧЕБНЫХ ДИСЦИПЛИН</t>
  </si>
  <si>
    <t>Курс</t>
  </si>
  <si>
    <t>Количество студентов</t>
  </si>
  <si>
    <t>Шифр</t>
  </si>
  <si>
    <t>Количество групп</t>
  </si>
  <si>
    <t>Форма обучения</t>
  </si>
  <si>
    <t xml:space="preserve">Лекции </t>
  </si>
  <si>
    <t>Практические занятия</t>
  </si>
  <si>
    <t>Лабораторные занятия</t>
  </si>
  <si>
    <t xml:space="preserve">Модульный контроль </t>
  </si>
  <si>
    <t>Консультации</t>
  </si>
  <si>
    <t>Зачеты</t>
  </si>
  <si>
    <t>Экзамены</t>
  </si>
  <si>
    <t xml:space="preserve">Курсовые работы </t>
  </si>
  <si>
    <t>ВКР бакалавр</t>
  </si>
  <si>
    <t>Дипломные, магистерские работы</t>
  </si>
  <si>
    <t>Руководство практикой</t>
  </si>
  <si>
    <t>ГЭК</t>
  </si>
  <si>
    <t>Рецензирование ВКР</t>
  </si>
  <si>
    <t>Защита ВКР</t>
  </si>
  <si>
    <t>Руководство аспирантами</t>
  </si>
  <si>
    <t>Другие виды работ</t>
  </si>
  <si>
    <t>ВСЕГО</t>
  </si>
  <si>
    <t>Примечание</t>
  </si>
  <si>
    <t>в течение семестра</t>
  </si>
  <si>
    <t>перед экзаменом</t>
  </si>
  <si>
    <t>I семестр (бюджет)</t>
  </si>
  <si>
    <t>Курсовая работа (БД)</t>
  </si>
  <si>
    <t>09.03.01</t>
  </si>
  <si>
    <t>очная</t>
  </si>
  <si>
    <t>Web-программирование</t>
  </si>
  <si>
    <t>ООП</t>
  </si>
  <si>
    <t>заочная</t>
  </si>
  <si>
    <t>Программирование</t>
  </si>
  <si>
    <t>ИТОГО I семестр (бюджет)</t>
  </si>
  <si>
    <t>I семестр (контракт)</t>
  </si>
  <si>
    <t>ИТОГО I семестр (контракт)</t>
  </si>
  <si>
    <t>ИТОГО I семестр</t>
  </si>
  <si>
    <t>II семестр (бюджет)</t>
  </si>
  <si>
    <t>Кусовая работа (Web-пр)</t>
  </si>
  <si>
    <t>Программирование мобильных устройств</t>
  </si>
  <si>
    <t>Рук-во ВКР</t>
  </si>
  <si>
    <t>Методы и средства расширенной реальности</t>
  </si>
  <si>
    <t>М2</t>
  </si>
  <si>
    <t>09.04.01</t>
  </si>
  <si>
    <t>Технологии виртуальной и дополнительной реальности</t>
  </si>
  <si>
    <t>Кусовая работа (Прогр.)</t>
  </si>
  <si>
    <t>ИТОГО II семестр (бюджет)</t>
  </si>
  <si>
    <t>II семестр (контракт)</t>
  </si>
  <si>
    <t>ИТОГО II семестр (контракт)</t>
  </si>
  <si>
    <t>ИТОГО II семестр</t>
  </si>
  <si>
    <t>ИТОГО за 2024-2025 УЧ.ГГ. (бюджет)</t>
  </si>
  <si>
    <t>ИТОГО за 2024-2025 УЧ.ГГ. (контракт)</t>
  </si>
  <si>
    <t>ИТОГО за 2024-2025 УЧ.ГГ.</t>
  </si>
  <si>
    <t>УЧЕБНАЯ НАГРУЗКА С ПОЧАСОВОЙ ОПЛАТОЙ ТРУДА</t>
  </si>
  <si>
    <t>УЧЕБНАЯ НАГРУЗКА С ПОЧАСОВОЙ ОПЛАТОЙ ТРУДА (БЮДЖЕТ)</t>
  </si>
  <si>
    <t>ИТОГО (бюджет)</t>
  </si>
  <si>
    <t>УЧЕБНАЯ НАГРУЗКА С ПОЧАСОВОЙ ОПЛАТОЙ ТРУДА (КОНТРАКТ)</t>
  </si>
  <si>
    <t>ИТОГО (контракт)</t>
  </si>
  <si>
    <t>ИТОГО ПОЧАСОВАЯ ОПЛАТА ТРУДА</t>
  </si>
  <si>
    <t>Заведующий кафедрой _______________________________ Аверин Г.В.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</si>
</sst>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00000"/>
    <numFmt numFmtId="181" formatCode="0.0"/>
  </numFmts>
  <fonts count="37">
    <font>
      <sz val="11"/>
      <color theme="1"/>
      <name val="Calibri"/>
      <charset val="204"/>
      <scheme val="minor"/>
    </font>
    <font>
      <sz val="11"/>
      <name val="Calibri"/>
      <charset val="204"/>
      <scheme val="minor"/>
    </font>
    <font>
      <sz val="14"/>
      <name val="Arial Cyr"/>
      <charset val="204"/>
    </font>
    <font>
      <sz val="12"/>
      <name val="Arial Cyr"/>
      <charset val="204"/>
    </font>
    <font>
      <b/>
      <sz val="12"/>
      <name val="Arial Cyr"/>
      <charset val="204"/>
    </font>
    <font>
      <sz val="8"/>
      <name val="Arial Cyr"/>
      <charset val="204"/>
    </font>
    <font>
      <b/>
      <sz val="10"/>
      <name val="Arial Cyr"/>
      <charset val="204"/>
    </font>
    <font>
      <sz val="10"/>
      <color theme="1"/>
      <name val="Times New Roman"/>
      <charset val="204"/>
    </font>
    <font>
      <sz val="10"/>
      <name val="Times New Roman"/>
      <charset val="204"/>
    </font>
    <font>
      <sz val="11"/>
      <name val="Times New Roman"/>
      <charset val="204"/>
    </font>
    <font>
      <sz val="11"/>
      <color theme="1"/>
      <name val="Times New Roman"/>
      <charset val="134"/>
    </font>
    <font>
      <b/>
      <sz val="11"/>
      <color theme="1"/>
      <name val="Calibri"/>
      <charset val="134"/>
    </font>
    <font>
      <b/>
      <sz val="11"/>
      <name val="Calibri"/>
      <charset val="204"/>
    </font>
    <font>
      <b/>
      <sz val="10"/>
      <name val="Times New Roman"/>
      <charset val="204"/>
    </font>
    <font>
      <b/>
      <sz val="11"/>
      <name val="Calibri"/>
      <charset val="204"/>
      <scheme val="minor"/>
    </font>
    <font>
      <sz val="10"/>
      <color theme="1"/>
      <name val="Times New Roman"/>
      <charset val="134"/>
    </font>
    <font>
      <sz val="10"/>
      <name val="Arial Cyr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" borderId="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12" applyNumberFormat="0" applyAlignment="0" applyProtection="0">
      <alignment vertical="center"/>
    </xf>
    <xf numFmtId="0" fontId="27" fillId="5" borderId="13" applyNumberFormat="0" applyAlignment="0" applyProtection="0">
      <alignment vertical="center"/>
    </xf>
    <xf numFmtId="0" fontId="28" fillId="5" borderId="12" applyNumberFormat="0" applyAlignment="0" applyProtection="0">
      <alignment vertical="center"/>
    </xf>
    <xf numFmtId="0" fontId="29" fillId="6" borderId="14" applyNumberFormat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125">
    <xf numFmtId="0" fontId="0" fillId="0" borderId="0" xfId="0"/>
    <xf numFmtId="0" fontId="1" fillId="2" borderId="0" xfId="0" applyFont="1" applyFill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 textRotation="90"/>
    </xf>
    <xf numFmtId="0" fontId="1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7" fillId="0" borderId="1" xfId="0" applyFont="1" applyFill="1" applyBorder="1"/>
    <xf numFmtId="1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/>
    <xf numFmtId="0" fontId="9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0" xfId="0" applyFont="1" applyFill="1" applyAlignment="1"/>
    <xf numFmtId="0" fontId="1" fillId="0" borderId="1" xfId="0" applyFont="1" applyFill="1" applyBorder="1"/>
    <xf numFmtId="0" fontId="8" fillId="0" borderId="1" xfId="0" applyFont="1" applyFill="1" applyBorder="1" applyAlignment="1" applyProtection="1">
      <alignment horizontal="left" vertical="top" shrinkToFit="1"/>
      <protection locked="0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80" fontId="12" fillId="0" borderId="1" xfId="0" applyNumberFormat="1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0" fillId="0" borderId="1" xfId="0" applyFont="1" applyFill="1" applyBorder="1" applyAlignment="1"/>
    <xf numFmtId="1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shrinkToFit="1"/>
      <protection locked="0"/>
    </xf>
    <xf numFmtId="0" fontId="8" fillId="0" borderId="1" xfId="0" applyFont="1" applyFill="1" applyBorder="1" applyAlignment="1" applyProtection="1">
      <alignment horizontal="left" vertical="center" shrinkToFit="1"/>
      <protection locked="0"/>
    </xf>
    <xf numFmtId="0" fontId="8" fillId="0" borderId="1" xfId="0" applyFont="1" applyFill="1" applyBorder="1" applyAlignment="1" applyProtection="1">
      <alignment horizontal="center" shrinkToFit="1"/>
      <protection locked="0"/>
    </xf>
    <xf numFmtId="0" fontId="1" fillId="0" borderId="1" xfId="0" applyFont="1" applyFill="1" applyBorder="1" applyAlignment="1">
      <alignment horizontal="center"/>
    </xf>
    <xf numFmtId="0" fontId="8" fillId="0" borderId="1" xfId="0" applyFont="1" applyFill="1" applyBorder="1" applyAlignment="1" applyProtection="1">
      <alignment horizontal="left" vertical="top" shrinkToFit="1"/>
      <protection locked="0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 applyProtection="1">
      <alignment horizontal="center" shrinkToFit="1"/>
      <protection locked="0"/>
    </xf>
    <xf numFmtId="0" fontId="14" fillId="0" borderId="1" xfId="0" applyFont="1" applyFill="1" applyBorder="1"/>
    <xf numFmtId="181" fontId="14" fillId="0" borderId="1" xfId="0" applyNumberFormat="1" applyFont="1" applyFill="1" applyBorder="1" applyAlignment="1">
      <alignment horizontal="center"/>
    </xf>
    <xf numFmtId="181" fontId="14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8" fillId="0" borderId="1" xfId="0" applyFont="1" applyFill="1" applyBorder="1" applyAlignment="1" applyProtection="1">
      <alignment horizontal="center" vertical="center"/>
      <protection locked="0"/>
    </xf>
    <xf numFmtId="0" fontId="15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/>
    <xf numFmtId="0" fontId="8" fillId="0" borderId="1" xfId="0" applyFont="1" applyFill="1" applyBorder="1" applyAlignment="1" applyProtection="1">
      <alignment horizontal="center" vertical="center"/>
      <protection locked="0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15" fillId="0" borderId="0" xfId="0" applyFont="1" applyFill="1" applyAlignment="1"/>
    <xf numFmtId="0" fontId="1" fillId="0" borderId="0" xfId="0" applyFont="1" applyFill="1"/>
    <xf numFmtId="0" fontId="14" fillId="0" borderId="1" xfId="0" applyNumberFormat="1" applyFont="1" applyFill="1" applyBorder="1" applyAlignment="1" applyProtection="1">
      <alignment horizontal="center" shrinkToFit="1"/>
    </xf>
    <xf numFmtId="0" fontId="10" fillId="0" borderId="0" xfId="0" applyFont="1" applyFill="1" applyAlignme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4" fillId="0" borderId="1" xfId="0" applyFont="1" applyBorder="1"/>
    <xf numFmtId="0" fontId="1" fillId="0" borderId="1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14" fillId="0" borderId="0" xfId="0" applyFont="1" applyBorder="1"/>
    <xf numFmtId="0" fontId="6" fillId="0" borderId="1" xfId="0" applyFont="1" applyBorder="1" applyAlignment="1">
      <alignment horizontal="center"/>
    </xf>
    <xf numFmtId="180" fontId="8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top"/>
    </xf>
    <xf numFmtId="180" fontId="8" fillId="0" borderId="5" xfId="0" applyNumberFormat="1" applyFont="1" applyBorder="1" applyAlignment="1">
      <alignment horizontal="left" vertical="top" wrapText="1"/>
    </xf>
    <xf numFmtId="180" fontId="14" fillId="0" borderId="5" xfId="0" applyNumberFormat="1" applyFont="1" applyBorder="1" applyAlignment="1">
      <alignment horizontal="left" vertical="top" wrapText="1"/>
    </xf>
    <xf numFmtId="0" fontId="1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textRotation="90" wrapText="1"/>
    </xf>
    <xf numFmtId="2" fontId="8" fillId="0" borderId="1" xfId="0" applyNumberFormat="1" applyFont="1" applyFill="1" applyBorder="1" applyAlignment="1" applyProtection="1">
      <alignment horizontal="center" vertical="center" shrinkToFit="1"/>
      <protection locked="0"/>
    </xf>
    <xf numFmtId="181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center"/>
    </xf>
    <xf numFmtId="181" fontId="8" fillId="0" borderId="1" xfId="0" applyNumberFormat="1" applyFont="1" applyFill="1" applyBorder="1" applyAlignment="1">
      <alignment horizontal="center" vertical="center"/>
    </xf>
    <xf numFmtId="2" fontId="13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1" xfId="0" applyFont="1" applyFill="1" applyBorder="1" applyAlignment="1">
      <alignment horizontal="center" vertical="center"/>
    </xf>
    <xf numFmtId="181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shrinkToFit="1"/>
      <protection locked="0"/>
    </xf>
    <xf numFmtId="0" fontId="11" fillId="0" borderId="1" xfId="0" applyFont="1" applyFill="1" applyBorder="1" applyAlignment="1"/>
    <xf numFmtId="2" fontId="14" fillId="0" borderId="1" xfId="0" applyNumberFormat="1" applyFont="1" applyFill="1" applyBorder="1" applyAlignment="1">
      <alignment horizontal="center"/>
    </xf>
    <xf numFmtId="2" fontId="14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textRotation="90" wrapText="1"/>
    </xf>
    <xf numFmtId="0" fontId="5" fillId="0" borderId="7" xfId="0" applyFont="1" applyFill="1" applyBorder="1" applyAlignment="1">
      <alignment horizontal="center" textRotation="90" wrapText="1"/>
    </xf>
    <xf numFmtId="2" fontId="1" fillId="0" borderId="1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shrinkToFit="1"/>
      <protection locked="0"/>
    </xf>
    <xf numFmtId="181" fontId="8" fillId="0" borderId="6" xfId="0" applyNumberFormat="1" applyFont="1" applyFill="1" applyBorder="1" applyAlignment="1">
      <alignment horizontal="center" vertical="center"/>
    </xf>
    <xf numFmtId="181" fontId="8" fillId="0" borderId="6" xfId="0" applyNumberFormat="1" applyFont="1" applyFill="1" applyBorder="1" applyAlignment="1">
      <alignment horizontal="center" vertical="center"/>
    </xf>
    <xf numFmtId="181" fontId="14" fillId="0" borderId="1" xfId="0" applyNumberFormat="1" applyFont="1" applyFill="1" applyBorder="1" applyAlignment="1" applyProtection="1">
      <alignment horizontal="center" vertical="center"/>
    </xf>
    <xf numFmtId="0" fontId="14" fillId="0" borderId="1" xfId="0" applyFon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" fillId="0" borderId="1" xfId="0" applyFont="1" applyFill="1" applyBorder="1"/>
    <xf numFmtId="2" fontId="1" fillId="0" borderId="0" xfId="0" applyNumberFormat="1" applyFont="1"/>
    <xf numFmtId="0" fontId="1" fillId="0" borderId="1" xfId="0" applyFont="1" applyFill="1" applyBorder="1" applyAlignment="1"/>
    <xf numFmtId="0" fontId="14" fillId="0" borderId="1" xfId="0" applyNumberFormat="1" applyFont="1" applyFill="1" applyBorder="1" applyAlignment="1">
      <alignment horizontal="center"/>
    </xf>
    <xf numFmtId="2" fontId="1" fillId="0" borderId="1" xfId="0" applyNumberFormat="1" applyFont="1" applyFill="1" applyBorder="1"/>
    <xf numFmtId="0" fontId="1" fillId="0" borderId="1" xfId="0" applyFont="1" applyFill="1" applyBorder="1"/>
    <xf numFmtId="0" fontId="14" fillId="0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/>
    <xf numFmtId="0" fontId="1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181" fontId="14" fillId="0" borderId="1" xfId="0" applyNumberFormat="1" applyFont="1" applyBorder="1" applyAlignment="1">
      <alignment horizontal="center"/>
    </xf>
    <xf numFmtId="0" fontId="6" fillId="0" borderId="1" xfId="0" applyFont="1" applyBorder="1"/>
    <xf numFmtId="181" fontId="6" fillId="0" borderId="1" xfId="0" applyNumberFormat="1" applyFont="1" applyBorder="1"/>
    <xf numFmtId="0" fontId="2" fillId="0" borderId="0" xfId="0" applyFont="1" applyAlignment="1">
      <alignment horizontal="center"/>
    </xf>
    <xf numFmtId="2" fontId="6" fillId="0" borderId="1" xfId="0" applyNumberFormat="1" applyFont="1" applyBorder="1"/>
    <xf numFmtId="181" fontId="14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">
    <dxf>
      <font>
        <color theme="0"/>
      </font>
    </dxf>
  </dxfs>
  <tableStyles count="0" defaultTableStyle="TableStyleMedium2" defaultPivotStyle="PivotStyleLight16"/>
  <colors>
    <mruColors>
      <color rgb="0000CC0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69"/>
  <sheetViews>
    <sheetView tabSelected="1" zoomScale="130" zoomScaleNormal="130" topLeftCell="A74" workbookViewId="0">
      <selection activeCell="B18" sqref="A18:H26"/>
    </sheetView>
  </sheetViews>
  <sheetFormatPr defaultColWidth="9" defaultRowHeight="14.4"/>
  <cols>
    <col min="1" max="1" width="4.85185185185185" style="3" customWidth="1"/>
    <col min="2" max="2" width="33" style="4" customWidth="1"/>
    <col min="3" max="3" width="5.13888888888889" style="4" customWidth="1"/>
    <col min="4" max="4" width="5.71296296296296" style="4" customWidth="1"/>
    <col min="5" max="5" width="8" style="4" customWidth="1"/>
    <col min="6" max="6" width="5.57407407407407" style="4" customWidth="1"/>
    <col min="7" max="7" width="6.85185185185185" style="4" customWidth="1"/>
    <col min="8" max="8" width="6.42592592592593" style="4" customWidth="1"/>
    <col min="9" max="9" width="6" style="4" customWidth="1"/>
    <col min="10" max="10" width="7.28703703703704" style="4" customWidth="1"/>
    <col min="11" max="11" width="6.28703703703704" style="4" customWidth="1"/>
    <col min="12" max="12" width="6" style="4" customWidth="1"/>
    <col min="13" max="13" width="6.28703703703704" style="4" customWidth="1"/>
    <col min="14" max="14" width="6" style="4" customWidth="1"/>
    <col min="15" max="15" width="7" style="4" customWidth="1"/>
    <col min="16" max="24" width="6" style="4" customWidth="1"/>
    <col min="25" max="25" width="8" style="4" customWidth="1"/>
    <col min="26" max="26" width="6" style="4" customWidth="1"/>
    <col min="27" max="256" width="9.13888888888889" style="4"/>
    <col min="257" max="257" width="4.85185185185185" style="4" customWidth="1"/>
    <col min="258" max="258" width="33" style="4" customWidth="1"/>
    <col min="259" max="259" width="5.13888888888889" style="4" customWidth="1"/>
    <col min="260" max="260" width="5.71296296296296" style="4" customWidth="1"/>
    <col min="261" max="261" width="8" style="4" customWidth="1"/>
    <col min="262" max="262" width="5.57407407407407" style="4" customWidth="1"/>
    <col min="263" max="263" width="6.85185185185185" style="4" customWidth="1"/>
    <col min="264" max="264" width="6.42592592592593" style="4" customWidth="1"/>
    <col min="265" max="265" width="6" style="4" customWidth="1"/>
    <col min="266" max="267" width="6.28703703703704" style="4" customWidth="1"/>
    <col min="268" max="268" width="6" style="4" customWidth="1"/>
    <col min="269" max="269" width="5.28703703703704" style="4" customWidth="1"/>
    <col min="270" max="280" width="6" style="4" customWidth="1"/>
    <col min="281" max="281" width="7.13888888888889" style="4" customWidth="1"/>
    <col min="282" max="282" width="6" style="4" customWidth="1"/>
    <col min="283" max="512" width="9.13888888888889" style="4"/>
    <col min="513" max="513" width="4.85185185185185" style="4" customWidth="1"/>
    <col min="514" max="514" width="33" style="4" customWidth="1"/>
    <col min="515" max="515" width="5.13888888888889" style="4" customWidth="1"/>
    <col min="516" max="516" width="5.71296296296296" style="4" customWidth="1"/>
    <col min="517" max="517" width="8" style="4" customWidth="1"/>
    <col min="518" max="518" width="5.57407407407407" style="4" customWidth="1"/>
    <col min="519" max="519" width="6.85185185185185" style="4" customWidth="1"/>
    <col min="520" max="520" width="6.42592592592593" style="4" customWidth="1"/>
    <col min="521" max="521" width="6" style="4" customWidth="1"/>
    <col min="522" max="523" width="6.28703703703704" style="4" customWidth="1"/>
    <col min="524" max="524" width="6" style="4" customWidth="1"/>
    <col min="525" max="525" width="5.28703703703704" style="4" customWidth="1"/>
    <col min="526" max="536" width="6" style="4" customWidth="1"/>
    <col min="537" max="537" width="7.13888888888889" style="4" customWidth="1"/>
    <col min="538" max="538" width="6" style="4" customWidth="1"/>
    <col min="539" max="768" width="9.13888888888889" style="4"/>
    <col min="769" max="769" width="4.85185185185185" style="4" customWidth="1"/>
    <col min="770" max="770" width="33" style="4" customWidth="1"/>
    <col min="771" max="771" width="5.13888888888889" style="4" customWidth="1"/>
    <col min="772" max="772" width="5.71296296296296" style="4" customWidth="1"/>
    <col min="773" max="773" width="8" style="4" customWidth="1"/>
    <col min="774" max="774" width="5.57407407407407" style="4" customWidth="1"/>
    <col min="775" max="775" width="6.85185185185185" style="4" customWidth="1"/>
    <col min="776" max="776" width="6.42592592592593" style="4" customWidth="1"/>
    <col min="777" max="777" width="6" style="4" customWidth="1"/>
    <col min="778" max="779" width="6.28703703703704" style="4" customWidth="1"/>
    <col min="780" max="780" width="6" style="4" customWidth="1"/>
    <col min="781" max="781" width="5.28703703703704" style="4" customWidth="1"/>
    <col min="782" max="792" width="6" style="4" customWidth="1"/>
    <col min="793" max="793" width="7.13888888888889" style="4" customWidth="1"/>
    <col min="794" max="794" width="6" style="4" customWidth="1"/>
    <col min="795" max="1024" width="9.13888888888889" style="4"/>
    <col min="1025" max="1025" width="4.85185185185185" style="4" customWidth="1"/>
    <col min="1026" max="1026" width="33" style="4" customWidth="1"/>
    <col min="1027" max="1027" width="5.13888888888889" style="4" customWidth="1"/>
    <col min="1028" max="1028" width="5.71296296296296" style="4" customWidth="1"/>
    <col min="1029" max="1029" width="8" style="4" customWidth="1"/>
    <col min="1030" max="1030" width="5.57407407407407" style="4" customWidth="1"/>
    <col min="1031" max="1031" width="6.85185185185185" style="4" customWidth="1"/>
    <col min="1032" max="1032" width="6.42592592592593" style="4" customWidth="1"/>
    <col min="1033" max="1033" width="6" style="4" customWidth="1"/>
    <col min="1034" max="1035" width="6.28703703703704" style="4" customWidth="1"/>
    <col min="1036" max="1036" width="6" style="4" customWidth="1"/>
    <col min="1037" max="1037" width="5.28703703703704" style="4" customWidth="1"/>
    <col min="1038" max="1048" width="6" style="4" customWidth="1"/>
    <col min="1049" max="1049" width="7.13888888888889" style="4" customWidth="1"/>
    <col min="1050" max="1050" width="6" style="4" customWidth="1"/>
    <col min="1051" max="1280" width="9.13888888888889" style="4"/>
    <col min="1281" max="1281" width="4.85185185185185" style="4" customWidth="1"/>
    <col min="1282" max="1282" width="33" style="4" customWidth="1"/>
    <col min="1283" max="1283" width="5.13888888888889" style="4" customWidth="1"/>
    <col min="1284" max="1284" width="5.71296296296296" style="4" customWidth="1"/>
    <col min="1285" max="1285" width="8" style="4" customWidth="1"/>
    <col min="1286" max="1286" width="5.57407407407407" style="4" customWidth="1"/>
    <col min="1287" max="1287" width="6.85185185185185" style="4" customWidth="1"/>
    <col min="1288" max="1288" width="6.42592592592593" style="4" customWidth="1"/>
    <col min="1289" max="1289" width="6" style="4" customWidth="1"/>
    <col min="1290" max="1291" width="6.28703703703704" style="4" customWidth="1"/>
    <col min="1292" max="1292" width="6" style="4" customWidth="1"/>
    <col min="1293" max="1293" width="5.28703703703704" style="4" customWidth="1"/>
    <col min="1294" max="1304" width="6" style="4" customWidth="1"/>
    <col min="1305" max="1305" width="7.13888888888889" style="4" customWidth="1"/>
    <col min="1306" max="1306" width="6" style="4" customWidth="1"/>
    <col min="1307" max="1536" width="9.13888888888889" style="4"/>
    <col min="1537" max="1537" width="4.85185185185185" style="4" customWidth="1"/>
    <col min="1538" max="1538" width="33" style="4" customWidth="1"/>
    <col min="1539" max="1539" width="5.13888888888889" style="4" customWidth="1"/>
    <col min="1540" max="1540" width="5.71296296296296" style="4" customWidth="1"/>
    <col min="1541" max="1541" width="8" style="4" customWidth="1"/>
    <col min="1542" max="1542" width="5.57407407407407" style="4" customWidth="1"/>
    <col min="1543" max="1543" width="6.85185185185185" style="4" customWidth="1"/>
    <col min="1544" max="1544" width="6.42592592592593" style="4" customWidth="1"/>
    <col min="1545" max="1545" width="6" style="4" customWidth="1"/>
    <col min="1546" max="1547" width="6.28703703703704" style="4" customWidth="1"/>
    <col min="1548" max="1548" width="6" style="4" customWidth="1"/>
    <col min="1549" max="1549" width="5.28703703703704" style="4" customWidth="1"/>
    <col min="1550" max="1560" width="6" style="4" customWidth="1"/>
    <col min="1561" max="1561" width="7.13888888888889" style="4" customWidth="1"/>
    <col min="1562" max="1562" width="6" style="4" customWidth="1"/>
    <col min="1563" max="1792" width="9.13888888888889" style="4"/>
    <col min="1793" max="1793" width="4.85185185185185" style="4" customWidth="1"/>
    <col min="1794" max="1794" width="33" style="4" customWidth="1"/>
    <col min="1795" max="1795" width="5.13888888888889" style="4" customWidth="1"/>
    <col min="1796" max="1796" width="5.71296296296296" style="4" customWidth="1"/>
    <col min="1797" max="1797" width="8" style="4" customWidth="1"/>
    <col min="1798" max="1798" width="5.57407407407407" style="4" customWidth="1"/>
    <col min="1799" max="1799" width="6.85185185185185" style="4" customWidth="1"/>
    <col min="1800" max="1800" width="6.42592592592593" style="4" customWidth="1"/>
    <col min="1801" max="1801" width="6" style="4" customWidth="1"/>
    <col min="1802" max="1803" width="6.28703703703704" style="4" customWidth="1"/>
    <col min="1804" max="1804" width="6" style="4" customWidth="1"/>
    <col min="1805" max="1805" width="5.28703703703704" style="4" customWidth="1"/>
    <col min="1806" max="1816" width="6" style="4" customWidth="1"/>
    <col min="1817" max="1817" width="7.13888888888889" style="4" customWidth="1"/>
    <col min="1818" max="1818" width="6" style="4" customWidth="1"/>
    <col min="1819" max="2048" width="9.13888888888889" style="4"/>
    <col min="2049" max="2049" width="4.85185185185185" style="4" customWidth="1"/>
    <col min="2050" max="2050" width="33" style="4" customWidth="1"/>
    <col min="2051" max="2051" width="5.13888888888889" style="4" customWidth="1"/>
    <col min="2052" max="2052" width="5.71296296296296" style="4" customWidth="1"/>
    <col min="2053" max="2053" width="8" style="4" customWidth="1"/>
    <col min="2054" max="2054" width="5.57407407407407" style="4" customWidth="1"/>
    <col min="2055" max="2055" width="6.85185185185185" style="4" customWidth="1"/>
    <col min="2056" max="2056" width="6.42592592592593" style="4" customWidth="1"/>
    <col min="2057" max="2057" width="6" style="4" customWidth="1"/>
    <col min="2058" max="2059" width="6.28703703703704" style="4" customWidth="1"/>
    <col min="2060" max="2060" width="6" style="4" customWidth="1"/>
    <col min="2061" max="2061" width="5.28703703703704" style="4" customWidth="1"/>
    <col min="2062" max="2072" width="6" style="4" customWidth="1"/>
    <col min="2073" max="2073" width="7.13888888888889" style="4" customWidth="1"/>
    <col min="2074" max="2074" width="6" style="4" customWidth="1"/>
    <col min="2075" max="2304" width="9.13888888888889" style="4"/>
    <col min="2305" max="2305" width="4.85185185185185" style="4" customWidth="1"/>
    <col min="2306" max="2306" width="33" style="4" customWidth="1"/>
    <col min="2307" max="2307" width="5.13888888888889" style="4" customWidth="1"/>
    <col min="2308" max="2308" width="5.71296296296296" style="4" customWidth="1"/>
    <col min="2309" max="2309" width="8" style="4" customWidth="1"/>
    <col min="2310" max="2310" width="5.57407407407407" style="4" customWidth="1"/>
    <col min="2311" max="2311" width="6.85185185185185" style="4" customWidth="1"/>
    <col min="2312" max="2312" width="6.42592592592593" style="4" customWidth="1"/>
    <col min="2313" max="2313" width="6" style="4" customWidth="1"/>
    <col min="2314" max="2315" width="6.28703703703704" style="4" customWidth="1"/>
    <col min="2316" max="2316" width="6" style="4" customWidth="1"/>
    <col min="2317" max="2317" width="5.28703703703704" style="4" customWidth="1"/>
    <col min="2318" max="2328" width="6" style="4" customWidth="1"/>
    <col min="2329" max="2329" width="7.13888888888889" style="4" customWidth="1"/>
    <col min="2330" max="2330" width="6" style="4" customWidth="1"/>
    <col min="2331" max="2560" width="9.13888888888889" style="4"/>
    <col min="2561" max="2561" width="4.85185185185185" style="4" customWidth="1"/>
    <col min="2562" max="2562" width="33" style="4" customWidth="1"/>
    <col min="2563" max="2563" width="5.13888888888889" style="4" customWidth="1"/>
    <col min="2564" max="2564" width="5.71296296296296" style="4" customWidth="1"/>
    <col min="2565" max="2565" width="8" style="4" customWidth="1"/>
    <col min="2566" max="2566" width="5.57407407407407" style="4" customWidth="1"/>
    <col min="2567" max="2567" width="6.85185185185185" style="4" customWidth="1"/>
    <col min="2568" max="2568" width="6.42592592592593" style="4" customWidth="1"/>
    <col min="2569" max="2569" width="6" style="4" customWidth="1"/>
    <col min="2570" max="2571" width="6.28703703703704" style="4" customWidth="1"/>
    <col min="2572" max="2572" width="6" style="4" customWidth="1"/>
    <col min="2573" max="2573" width="5.28703703703704" style="4" customWidth="1"/>
    <col min="2574" max="2584" width="6" style="4" customWidth="1"/>
    <col min="2585" max="2585" width="7.13888888888889" style="4" customWidth="1"/>
    <col min="2586" max="2586" width="6" style="4" customWidth="1"/>
    <col min="2587" max="2816" width="9.13888888888889" style="4"/>
    <col min="2817" max="2817" width="4.85185185185185" style="4" customWidth="1"/>
    <col min="2818" max="2818" width="33" style="4" customWidth="1"/>
    <col min="2819" max="2819" width="5.13888888888889" style="4" customWidth="1"/>
    <col min="2820" max="2820" width="5.71296296296296" style="4" customWidth="1"/>
    <col min="2821" max="2821" width="8" style="4" customWidth="1"/>
    <col min="2822" max="2822" width="5.57407407407407" style="4" customWidth="1"/>
    <col min="2823" max="2823" width="6.85185185185185" style="4" customWidth="1"/>
    <col min="2824" max="2824" width="6.42592592592593" style="4" customWidth="1"/>
    <col min="2825" max="2825" width="6" style="4" customWidth="1"/>
    <col min="2826" max="2827" width="6.28703703703704" style="4" customWidth="1"/>
    <col min="2828" max="2828" width="6" style="4" customWidth="1"/>
    <col min="2829" max="2829" width="5.28703703703704" style="4" customWidth="1"/>
    <col min="2830" max="2840" width="6" style="4" customWidth="1"/>
    <col min="2841" max="2841" width="7.13888888888889" style="4" customWidth="1"/>
    <col min="2842" max="2842" width="6" style="4" customWidth="1"/>
    <col min="2843" max="3072" width="9.13888888888889" style="4"/>
    <col min="3073" max="3073" width="4.85185185185185" style="4" customWidth="1"/>
    <col min="3074" max="3074" width="33" style="4" customWidth="1"/>
    <col min="3075" max="3075" width="5.13888888888889" style="4" customWidth="1"/>
    <col min="3076" max="3076" width="5.71296296296296" style="4" customWidth="1"/>
    <col min="3077" max="3077" width="8" style="4" customWidth="1"/>
    <col min="3078" max="3078" width="5.57407407407407" style="4" customWidth="1"/>
    <col min="3079" max="3079" width="6.85185185185185" style="4" customWidth="1"/>
    <col min="3080" max="3080" width="6.42592592592593" style="4" customWidth="1"/>
    <col min="3081" max="3081" width="6" style="4" customWidth="1"/>
    <col min="3082" max="3083" width="6.28703703703704" style="4" customWidth="1"/>
    <col min="3084" max="3084" width="6" style="4" customWidth="1"/>
    <col min="3085" max="3085" width="5.28703703703704" style="4" customWidth="1"/>
    <col min="3086" max="3096" width="6" style="4" customWidth="1"/>
    <col min="3097" max="3097" width="7.13888888888889" style="4" customWidth="1"/>
    <col min="3098" max="3098" width="6" style="4" customWidth="1"/>
    <col min="3099" max="3328" width="9.13888888888889" style="4"/>
    <col min="3329" max="3329" width="4.85185185185185" style="4" customWidth="1"/>
    <col min="3330" max="3330" width="33" style="4" customWidth="1"/>
    <col min="3331" max="3331" width="5.13888888888889" style="4" customWidth="1"/>
    <col min="3332" max="3332" width="5.71296296296296" style="4" customWidth="1"/>
    <col min="3333" max="3333" width="8" style="4" customWidth="1"/>
    <col min="3334" max="3334" width="5.57407407407407" style="4" customWidth="1"/>
    <col min="3335" max="3335" width="6.85185185185185" style="4" customWidth="1"/>
    <col min="3336" max="3336" width="6.42592592592593" style="4" customWidth="1"/>
    <col min="3337" max="3337" width="6" style="4" customWidth="1"/>
    <col min="3338" max="3339" width="6.28703703703704" style="4" customWidth="1"/>
    <col min="3340" max="3340" width="6" style="4" customWidth="1"/>
    <col min="3341" max="3341" width="5.28703703703704" style="4" customWidth="1"/>
    <col min="3342" max="3352" width="6" style="4" customWidth="1"/>
    <col min="3353" max="3353" width="7.13888888888889" style="4" customWidth="1"/>
    <col min="3354" max="3354" width="6" style="4" customWidth="1"/>
    <col min="3355" max="3584" width="9.13888888888889" style="4"/>
    <col min="3585" max="3585" width="4.85185185185185" style="4" customWidth="1"/>
    <col min="3586" max="3586" width="33" style="4" customWidth="1"/>
    <col min="3587" max="3587" width="5.13888888888889" style="4" customWidth="1"/>
    <col min="3588" max="3588" width="5.71296296296296" style="4" customWidth="1"/>
    <col min="3589" max="3589" width="8" style="4" customWidth="1"/>
    <col min="3590" max="3590" width="5.57407407407407" style="4" customWidth="1"/>
    <col min="3591" max="3591" width="6.85185185185185" style="4" customWidth="1"/>
    <col min="3592" max="3592" width="6.42592592592593" style="4" customWidth="1"/>
    <col min="3593" max="3593" width="6" style="4" customWidth="1"/>
    <col min="3594" max="3595" width="6.28703703703704" style="4" customWidth="1"/>
    <col min="3596" max="3596" width="6" style="4" customWidth="1"/>
    <col min="3597" max="3597" width="5.28703703703704" style="4" customWidth="1"/>
    <col min="3598" max="3608" width="6" style="4" customWidth="1"/>
    <col min="3609" max="3609" width="7.13888888888889" style="4" customWidth="1"/>
    <col min="3610" max="3610" width="6" style="4" customWidth="1"/>
    <col min="3611" max="3840" width="9.13888888888889" style="4"/>
    <col min="3841" max="3841" width="4.85185185185185" style="4" customWidth="1"/>
    <col min="3842" max="3842" width="33" style="4" customWidth="1"/>
    <col min="3843" max="3843" width="5.13888888888889" style="4" customWidth="1"/>
    <col min="3844" max="3844" width="5.71296296296296" style="4" customWidth="1"/>
    <col min="3845" max="3845" width="8" style="4" customWidth="1"/>
    <col min="3846" max="3846" width="5.57407407407407" style="4" customWidth="1"/>
    <col min="3847" max="3847" width="6.85185185185185" style="4" customWidth="1"/>
    <col min="3848" max="3848" width="6.42592592592593" style="4" customWidth="1"/>
    <col min="3849" max="3849" width="6" style="4" customWidth="1"/>
    <col min="3850" max="3851" width="6.28703703703704" style="4" customWidth="1"/>
    <col min="3852" max="3852" width="6" style="4" customWidth="1"/>
    <col min="3853" max="3853" width="5.28703703703704" style="4" customWidth="1"/>
    <col min="3854" max="3864" width="6" style="4" customWidth="1"/>
    <col min="3865" max="3865" width="7.13888888888889" style="4" customWidth="1"/>
    <col min="3866" max="3866" width="6" style="4" customWidth="1"/>
    <col min="3867" max="4096" width="9.13888888888889" style="4"/>
    <col min="4097" max="4097" width="4.85185185185185" style="4" customWidth="1"/>
    <col min="4098" max="4098" width="33" style="4" customWidth="1"/>
    <col min="4099" max="4099" width="5.13888888888889" style="4" customWidth="1"/>
    <col min="4100" max="4100" width="5.71296296296296" style="4" customWidth="1"/>
    <col min="4101" max="4101" width="8" style="4" customWidth="1"/>
    <col min="4102" max="4102" width="5.57407407407407" style="4" customWidth="1"/>
    <col min="4103" max="4103" width="6.85185185185185" style="4" customWidth="1"/>
    <col min="4104" max="4104" width="6.42592592592593" style="4" customWidth="1"/>
    <col min="4105" max="4105" width="6" style="4" customWidth="1"/>
    <col min="4106" max="4107" width="6.28703703703704" style="4" customWidth="1"/>
    <col min="4108" max="4108" width="6" style="4" customWidth="1"/>
    <col min="4109" max="4109" width="5.28703703703704" style="4" customWidth="1"/>
    <col min="4110" max="4120" width="6" style="4" customWidth="1"/>
    <col min="4121" max="4121" width="7.13888888888889" style="4" customWidth="1"/>
    <col min="4122" max="4122" width="6" style="4" customWidth="1"/>
    <col min="4123" max="4352" width="9.13888888888889" style="4"/>
    <col min="4353" max="4353" width="4.85185185185185" style="4" customWidth="1"/>
    <col min="4354" max="4354" width="33" style="4" customWidth="1"/>
    <col min="4355" max="4355" width="5.13888888888889" style="4" customWidth="1"/>
    <col min="4356" max="4356" width="5.71296296296296" style="4" customWidth="1"/>
    <col min="4357" max="4357" width="8" style="4" customWidth="1"/>
    <col min="4358" max="4358" width="5.57407407407407" style="4" customWidth="1"/>
    <col min="4359" max="4359" width="6.85185185185185" style="4" customWidth="1"/>
    <col min="4360" max="4360" width="6.42592592592593" style="4" customWidth="1"/>
    <col min="4361" max="4361" width="6" style="4" customWidth="1"/>
    <col min="4362" max="4363" width="6.28703703703704" style="4" customWidth="1"/>
    <col min="4364" max="4364" width="6" style="4" customWidth="1"/>
    <col min="4365" max="4365" width="5.28703703703704" style="4" customWidth="1"/>
    <col min="4366" max="4376" width="6" style="4" customWidth="1"/>
    <col min="4377" max="4377" width="7.13888888888889" style="4" customWidth="1"/>
    <col min="4378" max="4378" width="6" style="4" customWidth="1"/>
    <col min="4379" max="4608" width="9.13888888888889" style="4"/>
    <col min="4609" max="4609" width="4.85185185185185" style="4" customWidth="1"/>
    <col min="4610" max="4610" width="33" style="4" customWidth="1"/>
    <col min="4611" max="4611" width="5.13888888888889" style="4" customWidth="1"/>
    <col min="4612" max="4612" width="5.71296296296296" style="4" customWidth="1"/>
    <col min="4613" max="4613" width="8" style="4" customWidth="1"/>
    <col min="4614" max="4614" width="5.57407407407407" style="4" customWidth="1"/>
    <col min="4615" max="4615" width="6.85185185185185" style="4" customWidth="1"/>
    <col min="4616" max="4616" width="6.42592592592593" style="4" customWidth="1"/>
    <col min="4617" max="4617" width="6" style="4" customWidth="1"/>
    <col min="4618" max="4619" width="6.28703703703704" style="4" customWidth="1"/>
    <col min="4620" max="4620" width="6" style="4" customWidth="1"/>
    <col min="4621" max="4621" width="5.28703703703704" style="4" customWidth="1"/>
    <col min="4622" max="4632" width="6" style="4" customWidth="1"/>
    <col min="4633" max="4633" width="7.13888888888889" style="4" customWidth="1"/>
    <col min="4634" max="4634" width="6" style="4" customWidth="1"/>
    <col min="4635" max="4864" width="9.13888888888889" style="4"/>
    <col min="4865" max="4865" width="4.85185185185185" style="4" customWidth="1"/>
    <col min="4866" max="4866" width="33" style="4" customWidth="1"/>
    <col min="4867" max="4867" width="5.13888888888889" style="4" customWidth="1"/>
    <col min="4868" max="4868" width="5.71296296296296" style="4" customWidth="1"/>
    <col min="4869" max="4869" width="8" style="4" customWidth="1"/>
    <col min="4870" max="4870" width="5.57407407407407" style="4" customWidth="1"/>
    <col min="4871" max="4871" width="6.85185185185185" style="4" customWidth="1"/>
    <col min="4872" max="4872" width="6.42592592592593" style="4" customWidth="1"/>
    <col min="4873" max="4873" width="6" style="4" customWidth="1"/>
    <col min="4874" max="4875" width="6.28703703703704" style="4" customWidth="1"/>
    <col min="4876" max="4876" width="6" style="4" customWidth="1"/>
    <col min="4877" max="4877" width="5.28703703703704" style="4" customWidth="1"/>
    <col min="4878" max="4888" width="6" style="4" customWidth="1"/>
    <col min="4889" max="4889" width="7.13888888888889" style="4" customWidth="1"/>
    <col min="4890" max="4890" width="6" style="4" customWidth="1"/>
    <col min="4891" max="5120" width="9.13888888888889" style="4"/>
    <col min="5121" max="5121" width="4.85185185185185" style="4" customWidth="1"/>
    <col min="5122" max="5122" width="33" style="4" customWidth="1"/>
    <col min="5123" max="5123" width="5.13888888888889" style="4" customWidth="1"/>
    <col min="5124" max="5124" width="5.71296296296296" style="4" customWidth="1"/>
    <col min="5125" max="5125" width="8" style="4" customWidth="1"/>
    <col min="5126" max="5126" width="5.57407407407407" style="4" customWidth="1"/>
    <col min="5127" max="5127" width="6.85185185185185" style="4" customWidth="1"/>
    <col min="5128" max="5128" width="6.42592592592593" style="4" customWidth="1"/>
    <col min="5129" max="5129" width="6" style="4" customWidth="1"/>
    <col min="5130" max="5131" width="6.28703703703704" style="4" customWidth="1"/>
    <col min="5132" max="5132" width="6" style="4" customWidth="1"/>
    <col min="5133" max="5133" width="5.28703703703704" style="4" customWidth="1"/>
    <col min="5134" max="5144" width="6" style="4" customWidth="1"/>
    <col min="5145" max="5145" width="7.13888888888889" style="4" customWidth="1"/>
    <col min="5146" max="5146" width="6" style="4" customWidth="1"/>
    <col min="5147" max="5376" width="9.13888888888889" style="4"/>
    <col min="5377" max="5377" width="4.85185185185185" style="4" customWidth="1"/>
    <col min="5378" max="5378" width="33" style="4" customWidth="1"/>
    <col min="5379" max="5379" width="5.13888888888889" style="4" customWidth="1"/>
    <col min="5380" max="5380" width="5.71296296296296" style="4" customWidth="1"/>
    <col min="5381" max="5381" width="8" style="4" customWidth="1"/>
    <col min="5382" max="5382" width="5.57407407407407" style="4" customWidth="1"/>
    <col min="5383" max="5383" width="6.85185185185185" style="4" customWidth="1"/>
    <col min="5384" max="5384" width="6.42592592592593" style="4" customWidth="1"/>
    <col min="5385" max="5385" width="6" style="4" customWidth="1"/>
    <col min="5386" max="5387" width="6.28703703703704" style="4" customWidth="1"/>
    <col min="5388" max="5388" width="6" style="4" customWidth="1"/>
    <col min="5389" max="5389" width="5.28703703703704" style="4" customWidth="1"/>
    <col min="5390" max="5400" width="6" style="4" customWidth="1"/>
    <col min="5401" max="5401" width="7.13888888888889" style="4" customWidth="1"/>
    <col min="5402" max="5402" width="6" style="4" customWidth="1"/>
    <col min="5403" max="5632" width="9.13888888888889" style="4"/>
    <col min="5633" max="5633" width="4.85185185185185" style="4" customWidth="1"/>
    <col min="5634" max="5634" width="33" style="4" customWidth="1"/>
    <col min="5635" max="5635" width="5.13888888888889" style="4" customWidth="1"/>
    <col min="5636" max="5636" width="5.71296296296296" style="4" customWidth="1"/>
    <col min="5637" max="5637" width="8" style="4" customWidth="1"/>
    <col min="5638" max="5638" width="5.57407407407407" style="4" customWidth="1"/>
    <col min="5639" max="5639" width="6.85185185185185" style="4" customWidth="1"/>
    <col min="5640" max="5640" width="6.42592592592593" style="4" customWidth="1"/>
    <col min="5641" max="5641" width="6" style="4" customWidth="1"/>
    <col min="5642" max="5643" width="6.28703703703704" style="4" customWidth="1"/>
    <col min="5644" max="5644" width="6" style="4" customWidth="1"/>
    <col min="5645" max="5645" width="5.28703703703704" style="4" customWidth="1"/>
    <col min="5646" max="5656" width="6" style="4" customWidth="1"/>
    <col min="5657" max="5657" width="7.13888888888889" style="4" customWidth="1"/>
    <col min="5658" max="5658" width="6" style="4" customWidth="1"/>
    <col min="5659" max="5888" width="9.13888888888889" style="4"/>
    <col min="5889" max="5889" width="4.85185185185185" style="4" customWidth="1"/>
    <col min="5890" max="5890" width="33" style="4" customWidth="1"/>
    <col min="5891" max="5891" width="5.13888888888889" style="4" customWidth="1"/>
    <col min="5892" max="5892" width="5.71296296296296" style="4" customWidth="1"/>
    <col min="5893" max="5893" width="8" style="4" customWidth="1"/>
    <col min="5894" max="5894" width="5.57407407407407" style="4" customWidth="1"/>
    <col min="5895" max="5895" width="6.85185185185185" style="4" customWidth="1"/>
    <col min="5896" max="5896" width="6.42592592592593" style="4" customWidth="1"/>
    <col min="5897" max="5897" width="6" style="4" customWidth="1"/>
    <col min="5898" max="5899" width="6.28703703703704" style="4" customWidth="1"/>
    <col min="5900" max="5900" width="6" style="4" customWidth="1"/>
    <col min="5901" max="5901" width="5.28703703703704" style="4" customWidth="1"/>
    <col min="5902" max="5912" width="6" style="4" customWidth="1"/>
    <col min="5913" max="5913" width="7.13888888888889" style="4" customWidth="1"/>
    <col min="5914" max="5914" width="6" style="4" customWidth="1"/>
    <col min="5915" max="6144" width="9.13888888888889" style="4"/>
    <col min="6145" max="6145" width="4.85185185185185" style="4" customWidth="1"/>
    <col min="6146" max="6146" width="33" style="4" customWidth="1"/>
    <col min="6147" max="6147" width="5.13888888888889" style="4" customWidth="1"/>
    <col min="6148" max="6148" width="5.71296296296296" style="4" customWidth="1"/>
    <col min="6149" max="6149" width="8" style="4" customWidth="1"/>
    <col min="6150" max="6150" width="5.57407407407407" style="4" customWidth="1"/>
    <col min="6151" max="6151" width="6.85185185185185" style="4" customWidth="1"/>
    <col min="6152" max="6152" width="6.42592592592593" style="4" customWidth="1"/>
    <col min="6153" max="6153" width="6" style="4" customWidth="1"/>
    <col min="6154" max="6155" width="6.28703703703704" style="4" customWidth="1"/>
    <col min="6156" max="6156" width="6" style="4" customWidth="1"/>
    <col min="6157" max="6157" width="5.28703703703704" style="4" customWidth="1"/>
    <col min="6158" max="6168" width="6" style="4" customWidth="1"/>
    <col min="6169" max="6169" width="7.13888888888889" style="4" customWidth="1"/>
    <col min="6170" max="6170" width="6" style="4" customWidth="1"/>
    <col min="6171" max="6400" width="9.13888888888889" style="4"/>
    <col min="6401" max="6401" width="4.85185185185185" style="4" customWidth="1"/>
    <col min="6402" max="6402" width="33" style="4" customWidth="1"/>
    <col min="6403" max="6403" width="5.13888888888889" style="4" customWidth="1"/>
    <col min="6404" max="6404" width="5.71296296296296" style="4" customWidth="1"/>
    <col min="6405" max="6405" width="8" style="4" customWidth="1"/>
    <col min="6406" max="6406" width="5.57407407407407" style="4" customWidth="1"/>
    <col min="6407" max="6407" width="6.85185185185185" style="4" customWidth="1"/>
    <col min="6408" max="6408" width="6.42592592592593" style="4" customWidth="1"/>
    <col min="6409" max="6409" width="6" style="4" customWidth="1"/>
    <col min="6410" max="6411" width="6.28703703703704" style="4" customWidth="1"/>
    <col min="6412" max="6412" width="6" style="4" customWidth="1"/>
    <col min="6413" max="6413" width="5.28703703703704" style="4" customWidth="1"/>
    <col min="6414" max="6424" width="6" style="4" customWidth="1"/>
    <col min="6425" max="6425" width="7.13888888888889" style="4" customWidth="1"/>
    <col min="6426" max="6426" width="6" style="4" customWidth="1"/>
    <col min="6427" max="6656" width="9.13888888888889" style="4"/>
    <col min="6657" max="6657" width="4.85185185185185" style="4" customWidth="1"/>
    <col min="6658" max="6658" width="33" style="4" customWidth="1"/>
    <col min="6659" max="6659" width="5.13888888888889" style="4" customWidth="1"/>
    <col min="6660" max="6660" width="5.71296296296296" style="4" customWidth="1"/>
    <col min="6661" max="6661" width="8" style="4" customWidth="1"/>
    <col min="6662" max="6662" width="5.57407407407407" style="4" customWidth="1"/>
    <col min="6663" max="6663" width="6.85185185185185" style="4" customWidth="1"/>
    <col min="6664" max="6664" width="6.42592592592593" style="4" customWidth="1"/>
    <col min="6665" max="6665" width="6" style="4" customWidth="1"/>
    <col min="6666" max="6667" width="6.28703703703704" style="4" customWidth="1"/>
    <col min="6668" max="6668" width="6" style="4" customWidth="1"/>
    <col min="6669" max="6669" width="5.28703703703704" style="4" customWidth="1"/>
    <col min="6670" max="6680" width="6" style="4" customWidth="1"/>
    <col min="6681" max="6681" width="7.13888888888889" style="4" customWidth="1"/>
    <col min="6682" max="6682" width="6" style="4" customWidth="1"/>
    <col min="6683" max="6912" width="9.13888888888889" style="4"/>
    <col min="6913" max="6913" width="4.85185185185185" style="4" customWidth="1"/>
    <col min="6914" max="6914" width="33" style="4" customWidth="1"/>
    <col min="6915" max="6915" width="5.13888888888889" style="4" customWidth="1"/>
    <col min="6916" max="6916" width="5.71296296296296" style="4" customWidth="1"/>
    <col min="6917" max="6917" width="8" style="4" customWidth="1"/>
    <col min="6918" max="6918" width="5.57407407407407" style="4" customWidth="1"/>
    <col min="6919" max="6919" width="6.85185185185185" style="4" customWidth="1"/>
    <col min="6920" max="6920" width="6.42592592592593" style="4" customWidth="1"/>
    <col min="6921" max="6921" width="6" style="4" customWidth="1"/>
    <col min="6922" max="6923" width="6.28703703703704" style="4" customWidth="1"/>
    <col min="6924" max="6924" width="6" style="4" customWidth="1"/>
    <col min="6925" max="6925" width="5.28703703703704" style="4" customWidth="1"/>
    <col min="6926" max="6936" width="6" style="4" customWidth="1"/>
    <col min="6937" max="6937" width="7.13888888888889" style="4" customWidth="1"/>
    <col min="6938" max="6938" width="6" style="4" customWidth="1"/>
    <col min="6939" max="7168" width="9.13888888888889" style="4"/>
    <col min="7169" max="7169" width="4.85185185185185" style="4" customWidth="1"/>
    <col min="7170" max="7170" width="33" style="4" customWidth="1"/>
    <col min="7171" max="7171" width="5.13888888888889" style="4" customWidth="1"/>
    <col min="7172" max="7172" width="5.71296296296296" style="4" customWidth="1"/>
    <col min="7173" max="7173" width="8" style="4" customWidth="1"/>
    <col min="7174" max="7174" width="5.57407407407407" style="4" customWidth="1"/>
    <col min="7175" max="7175" width="6.85185185185185" style="4" customWidth="1"/>
    <col min="7176" max="7176" width="6.42592592592593" style="4" customWidth="1"/>
    <col min="7177" max="7177" width="6" style="4" customWidth="1"/>
    <col min="7178" max="7179" width="6.28703703703704" style="4" customWidth="1"/>
    <col min="7180" max="7180" width="6" style="4" customWidth="1"/>
    <col min="7181" max="7181" width="5.28703703703704" style="4" customWidth="1"/>
    <col min="7182" max="7192" width="6" style="4" customWidth="1"/>
    <col min="7193" max="7193" width="7.13888888888889" style="4" customWidth="1"/>
    <col min="7194" max="7194" width="6" style="4" customWidth="1"/>
    <col min="7195" max="7424" width="9.13888888888889" style="4"/>
    <col min="7425" max="7425" width="4.85185185185185" style="4" customWidth="1"/>
    <col min="7426" max="7426" width="33" style="4" customWidth="1"/>
    <col min="7427" max="7427" width="5.13888888888889" style="4" customWidth="1"/>
    <col min="7428" max="7428" width="5.71296296296296" style="4" customWidth="1"/>
    <col min="7429" max="7429" width="8" style="4" customWidth="1"/>
    <col min="7430" max="7430" width="5.57407407407407" style="4" customWidth="1"/>
    <col min="7431" max="7431" width="6.85185185185185" style="4" customWidth="1"/>
    <col min="7432" max="7432" width="6.42592592592593" style="4" customWidth="1"/>
    <col min="7433" max="7433" width="6" style="4" customWidth="1"/>
    <col min="7434" max="7435" width="6.28703703703704" style="4" customWidth="1"/>
    <col min="7436" max="7436" width="6" style="4" customWidth="1"/>
    <col min="7437" max="7437" width="5.28703703703704" style="4" customWidth="1"/>
    <col min="7438" max="7448" width="6" style="4" customWidth="1"/>
    <col min="7449" max="7449" width="7.13888888888889" style="4" customWidth="1"/>
    <col min="7450" max="7450" width="6" style="4" customWidth="1"/>
    <col min="7451" max="7680" width="9.13888888888889" style="4"/>
    <col min="7681" max="7681" width="4.85185185185185" style="4" customWidth="1"/>
    <col min="7682" max="7682" width="33" style="4" customWidth="1"/>
    <col min="7683" max="7683" width="5.13888888888889" style="4" customWidth="1"/>
    <col min="7684" max="7684" width="5.71296296296296" style="4" customWidth="1"/>
    <col min="7685" max="7685" width="8" style="4" customWidth="1"/>
    <col min="7686" max="7686" width="5.57407407407407" style="4" customWidth="1"/>
    <col min="7687" max="7687" width="6.85185185185185" style="4" customWidth="1"/>
    <col min="7688" max="7688" width="6.42592592592593" style="4" customWidth="1"/>
    <col min="7689" max="7689" width="6" style="4" customWidth="1"/>
    <col min="7690" max="7691" width="6.28703703703704" style="4" customWidth="1"/>
    <col min="7692" max="7692" width="6" style="4" customWidth="1"/>
    <col min="7693" max="7693" width="5.28703703703704" style="4" customWidth="1"/>
    <col min="7694" max="7704" width="6" style="4" customWidth="1"/>
    <col min="7705" max="7705" width="7.13888888888889" style="4" customWidth="1"/>
    <col min="7706" max="7706" width="6" style="4" customWidth="1"/>
    <col min="7707" max="7936" width="9.13888888888889" style="4"/>
    <col min="7937" max="7937" width="4.85185185185185" style="4" customWidth="1"/>
    <col min="7938" max="7938" width="33" style="4" customWidth="1"/>
    <col min="7939" max="7939" width="5.13888888888889" style="4" customWidth="1"/>
    <col min="7940" max="7940" width="5.71296296296296" style="4" customWidth="1"/>
    <col min="7941" max="7941" width="8" style="4" customWidth="1"/>
    <col min="7942" max="7942" width="5.57407407407407" style="4" customWidth="1"/>
    <col min="7943" max="7943" width="6.85185185185185" style="4" customWidth="1"/>
    <col min="7944" max="7944" width="6.42592592592593" style="4" customWidth="1"/>
    <col min="7945" max="7945" width="6" style="4" customWidth="1"/>
    <col min="7946" max="7947" width="6.28703703703704" style="4" customWidth="1"/>
    <col min="7948" max="7948" width="6" style="4" customWidth="1"/>
    <col min="7949" max="7949" width="5.28703703703704" style="4" customWidth="1"/>
    <col min="7950" max="7960" width="6" style="4" customWidth="1"/>
    <col min="7961" max="7961" width="7.13888888888889" style="4" customWidth="1"/>
    <col min="7962" max="7962" width="6" style="4" customWidth="1"/>
    <col min="7963" max="8192" width="9.13888888888889" style="4"/>
    <col min="8193" max="8193" width="4.85185185185185" style="4" customWidth="1"/>
    <col min="8194" max="8194" width="33" style="4" customWidth="1"/>
    <col min="8195" max="8195" width="5.13888888888889" style="4" customWidth="1"/>
    <col min="8196" max="8196" width="5.71296296296296" style="4" customWidth="1"/>
    <col min="8197" max="8197" width="8" style="4" customWidth="1"/>
    <col min="8198" max="8198" width="5.57407407407407" style="4" customWidth="1"/>
    <col min="8199" max="8199" width="6.85185185185185" style="4" customWidth="1"/>
    <col min="8200" max="8200" width="6.42592592592593" style="4" customWidth="1"/>
    <col min="8201" max="8201" width="6" style="4" customWidth="1"/>
    <col min="8202" max="8203" width="6.28703703703704" style="4" customWidth="1"/>
    <col min="8204" max="8204" width="6" style="4" customWidth="1"/>
    <col min="8205" max="8205" width="5.28703703703704" style="4" customWidth="1"/>
    <col min="8206" max="8216" width="6" style="4" customWidth="1"/>
    <col min="8217" max="8217" width="7.13888888888889" style="4" customWidth="1"/>
    <col min="8218" max="8218" width="6" style="4" customWidth="1"/>
    <col min="8219" max="8448" width="9.13888888888889" style="4"/>
    <col min="8449" max="8449" width="4.85185185185185" style="4" customWidth="1"/>
    <col min="8450" max="8450" width="33" style="4" customWidth="1"/>
    <col min="8451" max="8451" width="5.13888888888889" style="4" customWidth="1"/>
    <col min="8452" max="8452" width="5.71296296296296" style="4" customWidth="1"/>
    <col min="8453" max="8453" width="8" style="4" customWidth="1"/>
    <col min="8454" max="8454" width="5.57407407407407" style="4" customWidth="1"/>
    <col min="8455" max="8455" width="6.85185185185185" style="4" customWidth="1"/>
    <col min="8456" max="8456" width="6.42592592592593" style="4" customWidth="1"/>
    <col min="8457" max="8457" width="6" style="4" customWidth="1"/>
    <col min="8458" max="8459" width="6.28703703703704" style="4" customWidth="1"/>
    <col min="8460" max="8460" width="6" style="4" customWidth="1"/>
    <col min="8461" max="8461" width="5.28703703703704" style="4" customWidth="1"/>
    <col min="8462" max="8472" width="6" style="4" customWidth="1"/>
    <col min="8473" max="8473" width="7.13888888888889" style="4" customWidth="1"/>
    <col min="8474" max="8474" width="6" style="4" customWidth="1"/>
    <col min="8475" max="8704" width="9.13888888888889" style="4"/>
    <col min="8705" max="8705" width="4.85185185185185" style="4" customWidth="1"/>
    <col min="8706" max="8706" width="33" style="4" customWidth="1"/>
    <col min="8707" max="8707" width="5.13888888888889" style="4" customWidth="1"/>
    <col min="8708" max="8708" width="5.71296296296296" style="4" customWidth="1"/>
    <col min="8709" max="8709" width="8" style="4" customWidth="1"/>
    <col min="8710" max="8710" width="5.57407407407407" style="4" customWidth="1"/>
    <col min="8711" max="8711" width="6.85185185185185" style="4" customWidth="1"/>
    <col min="8712" max="8712" width="6.42592592592593" style="4" customWidth="1"/>
    <col min="8713" max="8713" width="6" style="4" customWidth="1"/>
    <col min="8714" max="8715" width="6.28703703703704" style="4" customWidth="1"/>
    <col min="8716" max="8716" width="6" style="4" customWidth="1"/>
    <col min="8717" max="8717" width="5.28703703703704" style="4" customWidth="1"/>
    <col min="8718" max="8728" width="6" style="4" customWidth="1"/>
    <col min="8729" max="8729" width="7.13888888888889" style="4" customWidth="1"/>
    <col min="8730" max="8730" width="6" style="4" customWidth="1"/>
    <col min="8731" max="8960" width="9.13888888888889" style="4"/>
    <col min="8961" max="8961" width="4.85185185185185" style="4" customWidth="1"/>
    <col min="8962" max="8962" width="33" style="4" customWidth="1"/>
    <col min="8963" max="8963" width="5.13888888888889" style="4" customWidth="1"/>
    <col min="8964" max="8964" width="5.71296296296296" style="4" customWidth="1"/>
    <col min="8965" max="8965" width="8" style="4" customWidth="1"/>
    <col min="8966" max="8966" width="5.57407407407407" style="4" customWidth="1"/>
    <col min="8967" max="8967" width="6.85185185185185" style="4" customWidth="1"/>
    <col min="8968" max="8968" width="6.42592592592593" style="4" customWidth="1"/>
    <col min="8969" max="8969" width="6" style="4" customWidth="1"/>
    <col min="8970" max="8971" width="6.28703703703704" style="4" customWidth="1"/>
    <col min="8972" max="8972" width="6" style="4" customWidth="1"/>
    <col min="8973" max="8973" width="5.28703703703704" style="4" customWidth="1"/>
    <col min="8974" max="8984" width="6" style="4" customWidth="1"/>
    <col min="8985" max="8985" width="7.13888888888889" style="4" customWidth="1"/>
    <col min="8986" max="8986" width="6" style="4" customWidth="1"/>
    <col min="8987" max="9216" width="9.13888888888889" style="4"/>
    <col min="9217" max="9217" width="4.85185185185185" style="4" customWidth="1"/>
    <col min="9218" max="9218" width="33" style="4" customWidth="1"/>
    <col min="9219" max="9219" width="5.13888888888889" style="4" customWidth="1"/>
    <col min="9220" max="9220" width="5.71296296296296" style="4" customWidth="1"/>
    <col min="9221" max="9221" width="8" style="4" customWidth="1"/>
    <col min="9222" max="9222" width="5.57407407407407" style="4" customWidth="1"/>
    <col min="9223" max="9223" width="6.85185185185185" style="4" customWidth="1"/>
    <col min="9224" max="9224" width="6.42592592592593" style="4" customWidth="1"/>
    <col min="9225" max="9225" width="6" style="4" customWidth="1"/>
    <col min="9226" max="9227" width="6.28703703703704" style="4" customWidth="1"/>
    <col min="9228" max="9228" width="6" style="4" customWidth="1"/>
    <col min="9229" max="9229" width="5.28703703703704" style="4" customWidth="1"/>
    <col min="9230" max="9240" width="6" style="4" customWidth="1"/>
    <col min="9241" max="9241" width="7.13888888888889" style="4" customWidth="1"/>
    <col min="9242" max="9242" width="6" style="4" customWidth="1"/>
    <col min="9243" max="9472" width="9.13888888888889" style="4"/>
    <col min="9473" max="9473" width="4.85185185185185" style="4" customWidth="1"/>
    <col min="9474" max="9474" width="33" style="4" customWidth="1"/>
    <col min="9475" max="9475" width="5.13888888888889" style="4" customWidth="1"/>
    <col min="9476" max="9476" width="5.71296296296296" style="4" customWidth="1"/>
    <col min="9477" max="9477" width="8" style="4" customWidth="1"/>
    <col min="9478" max="9478" width="5.57407407407407" style="4" customWidth="1"/>
    <col min="9479" max="9479" width="6.85185185185185" style="4" customWidth="1"/>
    <col min="9480" max="9480" width="6.42592592592593" style="4" customWidth="1"/>
    <col min="9481" max="9481" width="6" style="4" customWidth="1"/>
    <col min="9482" max="9483" width="6.28703703703704" style="4" customWidth="1"/>
    <col min="9484" max="9484" width="6" style="4" customWidth="1"/>
    <col min="9485" max="9485" width="5.28703703703704" style="4" customWidth="1"/>
    <col min="9486" max="9496" width="6" style="4" customWidth="1"/>
    <col min="9497" max="9497" width="7.13888888888889" style="4" customWidth="1"/>
    <col min="9498" max="9498" width="6" style="4" customWidth="1"/>
    <col min="9499" max="9728" width="9.13888888888889" style="4"/>
    <col min="9729" max="9729" width="4.85185185185185" style="4" customWidth="1"/>
    <col min="9730" max="9730" width="33" style="4" customWidth="1"/>
    <col min="9731" max="9731" width="5.13888888888889" style="4" customWidth="1"/>
    <col min="9732" max="9732" width="5.71296296296296" style="4" customWidth="1"/>
    <col min="9733" max="9733" width="8" style="4" customWidth="1"/>
    <col min="9734" max="9734" width="5.57407407407407" style="4" customWidth="1"/>
    <col min="9735" max="9735" width="6.85185185185185" style="4" customWidth="1"/>
    <col min="9736" max="9736" width="6.42592592592593" style="4" customWidth="1"/>
    <col min="9737" max="9737" width="6" style="4" customWidth="1"/>
    <col min="9738" max="9739" width="6.28703703703704" style="4" customWidth="1"/>
    <col min="9740" max="9740" width="6" style="4" customWidth="1"/>
    <col min="9741" max="9741" width="5.28703703703704" style="4" customWidth="1"/>
    <col min="9742" max="9752" width="6" style="4" customWidth="1"/>
    <col min="9753" max="9753" width="7.13888888888889" style="4" customWidth="1"/>
    <col min="9754" max="9754" width="6" style="4" customWidth="1"/>
    <col min="9755" max="9984" width="9.13888888888889" style="4"/>
    <col min="9985" max="9985" width="4.85185185185185" style="4" customWidth="1"/>
    <col min="9986" max="9986" width="33" style="4" customWidth="1"/>
    <col min="9987" max="9987" width="5.13888888888889" style="4" customWidth="1"/>
    <col min="9988" max="9988" width="5.71296296296296" style="4" customWidth="1"/>
    <col min="9989" max="9989" width="8" style="4" customWidth="1"/>
    <col min="9990" max="9990" width="5.57407407407407" style="4" customWidth="1"/>
    <col min="9991" max="9991" width="6.85185185185185" style="4" customWidth="1"/>
    <col min="9992" max="9992" width="6.42592592592593" style="4" customWidth="1"/>
    <col min="9993" max="9993" width="6" style="4" customWidth="1"/>
    <col min="9994" max="9995" width="6.28703703703704" style="4" customWidth="1"/>
    <col min="9996" max="9996" width="6" style="4" customWidth="1"/>
    <col min="9997" max="9997" width="5.28703703703704" style="4" customWidth="1"/>
    <col min="9998" max="10008" width="6" style="4" customWidth="1"/>
    <col min="10009" max="10009" width="7.13888888888889" style="4" customWidth="1"/>
    <col min="10010" max="10010" width="6" style="4" customWidth="1"/>
    <col min="10011" max="10240" width="9.13888888888889" style="4"/>
    <col min="10241" max="10241" width="4.85185185185185" style="4" customWidth="1"/>
    <col min="10242" max="10242" width="33" style="4" customWidth="1"/>
    <col min="10243" max="10243" width="5.13888888888889" style="4" customWidth="1"/>
    <col min="10244" max="10244" width="5.71296296296296" style="4" customWidth="1"/>
    <col min="10245" max="10245" width="8" style="4" customWidth="1"/>
    <col min="10246" max="10246" width="5.57407407407407" style="4" customWidth="1"/>
    <col min="10247" max="10247" width="6.85185185185185" style="4" customWidth="1"/>
    <col min="10248" max="10248" width="6.42592592592593" style="4" customWidth="1"/>
    <col min="10249" max="10249" width="6" style="4" customWidth="1"/>
    <col min="10250" max="10251" width="6.28703703703704" style="4" customWidth="1"/>
    <col min="10252" max="10252" width="6" style="4" customWidth="1"/>
    <col min="10253" max="10253" width="5.28703703703704" style="4" customWidth="1"/>
    <col min="10254" max="10264" width="6" style="4" customWidth="1"/>
    <col min="10265" max="10265" width="7.13888888888889" style="4" customWidth="1"/>
    <col min="10266" max="10266" width="6" style="4" customWidth="1"/>
    <col min="10267" max="10496" width="9.13888888888889" style="4"/>
    <col min="10497" max="10497" width="4.85185185185185" style="4" customWidth="1"/>
    <col min="10498" max="10498" width="33" style="4" customWidth="1"/>
    <col min="10499" max="10499" width="5.13888888888889" style="4" customWidth="1"/>
    <col min="10500" max="10500" width="5.71296296296296" style="4" customWidth="1"/>
    <col min="10501" max="10501" width="8" style="4" customWidth="1"/>
    <col min="10502" max="10502" width="5.57407407407407" style="4" customWidth="1"/>
    <col min="10503" max="10503" width="6.85185185185185" style="4" customWidth="1"/>
    <col min="10504" max="10504" width="6.42592592592593" style="4" customWidth="1"/>
    <col min="10505" max="10505" width="6" style="4" customWidth="1"/>
    <col min="10506" max="10507" width="6.28703703703704" style="4" customWidth="1"/>
    <col min="10508" max="10508" width="6" style="4" customWidth="1"/>
    <col min="10509" max="10509" width="5.28703703703704" style="4" customWidth="1"/>
    <col min="10510" max="10520" width="6" style="4" customWidth="1"/>
    <col min="10521" max="10521" width="7.13888888888889" style="4" customWidth="1"/>
    <col min="10522" max="10522" width="6" style="4" customWidth="1"/>
    <col min="10523" max="10752" width="9.13888888888889" style="4"/>
    <col min="10753" max="10753" width="4.85185185185185" style="4" customWidth="1"/>
    <col min="10754" max="10754" width="33" style="4" customWidth="1"/>
    <col min="10755" max="10755" width="5.13888888888889" style="4" customWidth="1"/>
    <col min="10756" max="10756" width="5.71296296296296" style="4" customWidth="1"/>
    <col min="10757" max="10757" width="8" style="4" customWidth="1"/>
    <col min="10758" max="10758" width="5.57407407407407" style="4" customWidth="1"/>
    <col min="10759" max="10759" width="6.85185185185185" style="4" customWidth="1"/>
    <col min="10760" max="10760" width="6.42592592592593" style="4" customWidth="1"/>
    <col min="10761" max="10761" width="6" style="4" customWidth="1"/>
    <col min="10762" max="10763" width="6.28703703703704" style="4" customWidth="1"/>
    <col min="10764" max="10764" width="6" style="4" customWidth="1"/>
    <col min="10765" max="10765" width="5.28703703703704" style="4" customWidth="1"/>
    <col min="10766" max="10776" width="6" style="4" customWidth="1"/>
    <col min="10777" max="10777" width="7.13888888888889" style="4" customWidth="1"/>
    <col min="10778" max="10778" width="6" style="4" customWidth="1"/>
    <col min="10779" max="11008" width="9.13888888888889" style="4"/>
    <col min="11009" max="11009" width="4.85185185185185" style="4" customWidth="1"/>
    <col min="11010" max="11010" width="33" style="4" customWidth="1"/>
    <col min="11011" max="11011" width="5.13888888888889" style="4" customWidth="1"/>
    <col min="11012" max="11012" width="5.71296296296296" style="4" customWidth="1"/>
    <col min="11013" max="11013" width="8" style="4" customWidth="1"/>
    <col min="11014" max="11014" width="5.57407407407407" style="4" customWidth="1"/>
    <col min="11015" max="11015" width="6.85185185185185" style="4" customWidth="1"/>
    <col min="11016" max="11016" width="6.42592592592593" style="4" customWidth="1"/>
    <col min="11017" max="11017" width="6" style="4" customWidth="1"/>
    <col min="11018" max="11019" width="6.28703703703704" style="4" customWidth="1"/>
    <col min="11020" max="11020" width="6" style="4" customWidth="1"/>
    <col min="11021" max="11021" width="5.28703703703704" style="4" customWidth="1"/>
    <col min="11022" max="11032" width="6" style="4" customWidth="1"/>
    <col min="11033" max="11033" width="7.13888888888889" style="4" customWidth="1"/>
    <col min="11034" max="11034" width="6" style="4" customWidth="1"/>
    <col min="11035" max="11264" width="9.13888888888889" style="4"/>
    <col min="11265" max="11265" width="4.85185185185185" style="4" customWidth="1"/>
    <col min="11266" max="11266" width="33" style="4" customWidth="1"/>
    <col min="11267" max="11267" width="5.13888888888889" style="4" customWidth="1"/>
    <col min="11268" max="11268" width="5.71296296296296" style="4" customWidth="1"/>
    <col min="11269" max="11269" width="8" style="4" customWidth="1"/>
    <col min="11270" max="11270" width="5.57407407407407" style="4" customWidth="1"/>
    <col min="11271" max="11271" width="6.85185185185185" style="4" customWidth="1"/>
    <col min="11272" max="11272" width="6.42592592592593" style="4" customWidth="1"/>
    <col min="11273" max="11273" width="6" style="4" customWidth="1"/>
    <col min="11274" max="11275" width="6.28703703703704" style="4" customWidth="1"/>
    <col min="11276" max="11276" width="6" style="4" customWidth="1"/>
    <col min="11277" max="11277" width="5.28703703703704" style="4" customWidth="1"/>
    <col min="11278" max="11288" width="6" style="4" customWidth="1"/>
    <col min="11289" max="11289" width="7.13888888888889" style="4" customWidth="1"/>
    <col min="11290" max="11290" width="6" style="4" customWidth="1"/>
    <col min="11291" max="11520" width="9.13888888888889" style="4"/>
    <col min="11521" max="11521" width="4.85185185185185" style="4" customWidth="1"/>
    <col min="11522" max="11522" width="33" style="4" customWidth="1"/>
    <col min="11523" max="11523" width="5.13888888888889" style="4" customWidth="1"/>
    <col min="11524" max="11524" width="5.71296296296296" style="4" customWidth="1"/>
    <col min="11525" max="11525" width="8" style="4" customWidth="1"/>
    <col min="11526" max="11526" width="5.57407407407407" style="4" customWidth="1"/>
    <col min="11527" max="11527" width="6.85185185185185" style="4" customWidth="1"/>
    <col min="11528" max="11528" width="6.42592592592593" style="4" customWidth="1"/>
    <col min="11529" max="11529" width="6" style="4" customWidth="1"/>
    <col min="11530" max="11531" width="6.28703703703704" style="4" customWidth="1"/>
    <col min="11532" max="11532" width="6" style="4" customWidth="1"/>
    <col min="11533" max="11533" width="5.28703703703704" style="4" customWidth="1"/>
    <col min="11534" max="11544" width="6" style="4" customWidth="1"/>
    <col min="11545" max="11545" width="7.13888888888889" style="4" customWidth="1"/>
    <col min="11546" max="11546" width="6" style="4" customWidth="1"/>
    <col min="11547" max="11776" width="9.13888888888889" style="4"/>
    <col min="11777" max="11777" width="4.85185185185185" style="4" customWidth="1"/>
    <col min="11778" max="11778" width="33" style="4" customWidth="1"/>
    <col min="11779" max="11779" width="5.13888888888889" style="4" customWidth="1"/>
    <col min="11780" max="11780" width="5.71296296296296" style="4" customWidth="1"/>
    <col min="11781" max="11781" width="8" style="4" customWidth="1"/>
    <col min="11782" max="11782" width="5.57407407407407" style="4" customWidth="1"/>
    <col min="11783" max="11783" width="6.85185185185185" style="4" customWidth="1"/>
    <col min="11784" max="11784" width="6.42592592592593" style="4" customWidth="1"/>
    <col min="11785" max="11785" width="6" style="4" customWidth="1"/>
    <col min="11786" max="11787" width="6.28703703703704" style="4" customWidth="1"/>
    <col min="11788" max="11788" width="6" style="4" customWidth="1"/>
    <col min="11789" max="11789" width="5.28703703703704" style="4" customWidth="1"/>
    <col min="11790" max="11800" width="6" style="4" customWidth="1"/>
    <col min="11801" max="11801" width="7.13888888888889" style="4" customWidth="1"/>
    <col min="11802" max="11802" width="6" style="4" customWidth="1"/>
    <col min="11803" max="12032" width="9.13888888888889" style="4"/>
    <col min="12033" max="12033" width="4.85185185185185" style="4" customWidth="1"/>
    <col min="12034" max="12034" width="33" style="4" customWidth="1"/>
    <col min="12035" max="12035" width="5.13888888888889" style="4" customWidth="1"/>
    <col min="12036" max="12036" width="5.71296296296296" style="4" customWidth="1"/>
    <col min="12037" max="12037" width="8" style="4" customWidth="1"/>
    <col min="12038" max="12038" width="5.57407407407407" style="4" customWidth="1"/>
    <col min="12039" max="12039" width="6.85185185185185" style="4" customWidth="1"/>
    <col min="12040" max="12040" width="6.42592592592593" style="4" customWidth="1"/>
    <col min="12041" max="12041" width="6" style="4" customWidth="1"/>
    <col min="12042" max="12043" width="6.28703703703704" style="4" customWidth="1"/>
    <col min="12044" max="12044" width="6" style="4" customWidth="1"/>
    <col min="12045" max="12045" width="5.28703703703704" style="4" customWidth="1"/>
    <col min="12046" max="12056" width="6" style="4" customWidth="1"/>
    <col min="12057" max="12057" width="7.13888888888889" style="4" customWidth="1"/>
    <col min="12058" max="12058" width="6" style="4" customWidth="1"/>
    <col min="12059" max="12288" width="9.13888888888889" style="4"/>
    <col min="12289" max="12289" width="4.85185185185185" style="4" customWidth="1"/>
    <col min="12290" max="12290" width="33" style="4" customWidth="1"/>
    <col min="12291" max="12291" width="5.13888888888889" style="4" customWidth="1"/>
    <col min="12292" max="12292" width="5.71296296296296" style="4" customWidth="1"/>
    <col min="12293" max="12293" width="8" style="4" customWidth="1"/>
    <col min="12294" max="12294" width="5.57407407407407" style="4" customWidth="1"/>
    <col min="12295" max="12295" width="6.85185185185185" style="4" customWidth="1"/>
    <col min="12296" max="12296" width="6.42592592592593" style="4" customWidth="1"/>
    <col min="12297" max="12297" width="6" style="4" customWidth="1"/>
    <col min="12298" max="12299" width="6.28703703703704" style="4" customWidth="1"/>
    <col min="12300" max="12300" width="6" style="4" customWidth="1"/>
    <col min="12301" max="12301" width="5.28703703703704" style="4" customWidth="1"/>
    <col min="12302" max="12312" width="6" style="4" customWidth="1"/>
    <col min="12313" max="12313" width="7.13888888888889" style="4" customWidth="1"/>
    <col min="12314" max="12314" width="6" style="4" customWidth="1"/>
    <col min="12315" max="12544" width="9.13888888888889" style="4"/>
    <col min="12545" max="12545" width="4.85185185185185" style="4" customWidth="1"/>
    <col min="12546" max="12546" width="33" style="4" customWidth="1"/>
    <col min="12547" max="12547" width="5.13888888888889" style="4" customWidth="1"/>
    <col min="12548" max="12548" width="5.71296296296296" style="4" customWidth="1"/>
    <col min="12549" max="12549" width="8" style="4" customWidth="1"/>
    <col min="12550" max="12550" width="5.57407407407407" style="4" customWidth="1"/>
    <col min="12551" max="12551" width="6.85185185185185" style="4" customWidth="1"/>
    <col min="12552" max="12552" width="6.42592592592593" style="4" customWidth="1"/>
    <col min="12553" max="12553" width="6" style="4" customWidth="1"/>
    <col min="12554" max="12555" width="6.28703703703704" style="4" customWidth="1"/>
    <col min="12556" max="12556" width="6" style="4" customWidth="1"/>
    <col min="12557" max="12557" width="5.28703703703704" style="4" customWidth="1"/>
    <col min="12558" max="12568" width="6" style="4" customWidth="1"/>
    <col min="12569" max="12569" width="7.13888888888889" style="4" customWidth="1"/>
    <col min="12570" max="12570" width="6" style="4" customWidth="1"/>
    <col min="12571" max="12800" width="9.13888888888889" style="4"/>
    <col min="12801" max="12801" width="4.85185185185185" style="4" customWidth="1"/>
    <col min="12802" max="12802" width="33" style="4" customWidth="1"/>
    <col min="12803" max="12803" width="5.13888888888889" style="4" customWidth="1"/>
    <col min="12804" max="12804" width="5.71296296296296" style="4" customWidth="1"/>
    <col min="12805" max="12805" width="8" style="4" customWidth="1"/>
    <col min="12806" max="12806" width="5.57407407407407" style="4" customWidth="1"/>
    <col min="12807" max="12807" width="6.85185185185185" style="4" customWidth="1"/>
    <col min="12808" max="12808" width="6.42592592592593" style="4" customWidth="1"/>
    <col min="12809" max="12809" width="6" style="4" customWidth="1"/>
    <col min="12810" max="12811" width="6.28703703703704" style="4" customWidth="1"/>
    <col min="12812" max="12812" width="6" style="4" customWidth="1"/>
    <col min="12813" max="12813" width="5.28703703703704" style="4" customWidth="1"/>
    <col min="12814" max="12824" width="6" style="4" customWidth="1"/>
    <col min="12825" max="12825" width="7.13888888888889" style="4" customWidth="1"/>
    <col min="12826" max="12826" width="6" style="4" customWidth="1"/>
    <col min="12827" max="13056" width="9.13888888888889" style="4"/>
    <col min="13057" max="13057" width="4.85185185185185" style="4" customWidth="1"/>
    <col min="13058" max="13058" width="33" style="4" customWidth="1"/>
    <col min="13059" max="13059" width="5.13888888888889" style="4" customWidth="1"/>
    <col min="13060" max="13060" width="5.71296296296296" style="4" customWidth="1"/>
    <col min="13061" max="13061" width="8" style="4" customWidth="1"/>
    <col min="13062" max="13062" width="5.57407407407407" style="4" customWidth="1"/>
    <col min="13063" max="13063" width="6.85185185185185" style="4" customWidth="1"/>
    <col min="13064" max="13064" width="6.42592592592593" style="4" customWidth="1"/>
    <col min="13065" max="13065" width="6" style="4" customWidth="1"/>
    <col min="13066" max="13067" width="6.28703703703704" style="4" customWidth="1"/>
    <col min="13068" max="13068" width="6" style="4" customWidth="1"/>
    <col min="13069" max="13069" width="5.28703703703704" style="4" customWidth="1"/>
    <col min="13070" max="13080" width="6" style="4" customWidth="1"/>
    <col min="13081" max="13081" width="7.13888888888889" style="4" customWidth="1"/>
    <col min="13082" max="13082" width="6" style="4" customWidth="1"/>
    <col min="13083" max="13312" width="9.13888888888889" style="4"/>
    <col min="13313" max="13313" width="4.85185185185185" style="4" customWidth="1"/>
    <col min="13314" max="13314" width="33" style="4" customWidth="1"/>
    <col min="13315" max="13315" width="5.13888888888889" style="4" customWidth="1"/>
    <col min="13316" max="13316" width="5.71296296296296" style="4" customWidth="1"/>
    <col min="13317" max="13317" width="8" style="4" customWidth="1"/>
    <col min="13318" max="13318" width="5.57407407407407" style="4" customWidth="1"/>
    <col min="13319" max="13319" width="6.85185185185185" style="4" customWidth="1"/>
    <col min="13320" max="13320" width="6.42592592592593" style="4" customWidth="1"/>
    <col min="13321" max="13321" width="6" style="4" customWidth="1"/>
    <col min="13322" max="13323" width="6.28703703703704" style="4" customWidth="1"/>
    <col min="13324" max="13324" width="6" style="4" customWidth="1"/>
    <col min="13325" max="13325" width="5.28703703703704" style="4" customWidth="1"/>
    <col min="13326" max="13336" width="6" style="4" customWidth="1"/>
    <col min="13337" max="13337" width="7.13888888888889" style="4" customWidth="1"/>
    <col min="13338" max="13338" width="6" style="4" customWidth="1"/>
    <col min="13339" max="13568" width="9.13888888888889" style="4"/>
    <col min="13569" max="13569" width="4.85185185185185" style="4" customWidth="1"/>
    <col min="13570" max="13570" width="33" style="4" customWidth="1"/>
    <col min="13571" max="13571" width="5.13888888888889" style="4" customWidth="1"/>
    <col min="13572" max="13572" width="5.71296296296296" style="4" customWidth="1"/>
    <col min="13573" max="13573" width="8" style="4" customWidth="1"/>
    <col min="13574" max="13574" width="5.57407407407407" style="4" customWidth="1"/>
    <col min="13575" max="13575" width="6.85185185185185" style="4" customWidth="1"/>
    <col min="13576" max="13576" width="6.42592592592593" style="4" customWidth="1"/>
    <col min="13577" max="13577" width="6" style="4" customWidth="1"/>
    <col min="13578" max="13579" width="6.28703703703704" style="4" customWidth="1"/>
    <col min="13580" max="13580" width="6" style="4" customWidth="1"/>
    <col min="13581" max="13581" width="5.28703703703704" style="4" customWidth="1"/>
    <col min="13582" max="13592" width="6" style="4" customWidth="1"/>
    <col min="13593" max="13593" width="7.13888888888889" style="4" customWidth="1"/>
    <col min="13594" max="13594" width="6" style="4" customWidth="1"/>
    <col min="13595" max="13824" width="9.13888888888889" style="4"/>
    <col min="13825" max="13825" width="4.85185185185185" style="4" customWidth="1"/>
    <col min="13826" max="13826" width="33" style="4" customWidth="1"/>
    <col min="13827" max="13827" width="5.13888888888889" style="4" customWidth="1"/>
    <col min="13828" max="13828" width="5.71296296296296" style="4" customWidth="1"/>
    <col min="13829" max="13829" width="8" style="4" customWidth="1"/>
    <col min="13830" max="13830" width="5.57407407407407" style="4" customWidth="1"/>
    <col min="13831" max="13831" width="6.85185185185185" style="4" customWidth="1"/>
    <col min="13832" max="13832" width="6.42592592592593" style="4" customWidth="1"/>
    <col min="13833" max="13833" width="6" style="4" customWidth="1"/>
    <col min="13834" max="13835" width="6.28703703703704" style="4" customWidth="1"/>
    <col min="13836" max="13836" width="6" style="4" customWidth="1"/>
    <col min="13837" max="13837" width="5.28703703703704" style="4" customWidth="1"/>
    <col min="13838" max="13848" width="6" style="4" customWidth="1"/>
    <col min="13849" max="13849" width="7.13888888888889" style="4" customWidth="1"/>
    <col min="13850" max="13850" width="6" style="4" customWidth="1"/>
    <col min="13851" max="14080" width="9.13888888888889" style="4"/>
    <col min="14081" max="14081" width="4.85185185185185" style="4" customWidth="1"/>
    <col min="14082" max="14082" width="33" style="4" customWidth="1"/>
    <col min="14083" max="14083" width="5.13888888888889" style="4" customWidth="1"/>
    <col min="14084" max="14084" width="5.71296296296296" style="4" customWidth="1"/>
    <col min="14085" max="14085" width="8" style="4" customWidth="1"/>
    <col min="14086" max="14086" width="5.57407407407407" style="4" customWidth="1"/>
    <col min="14087" max="14087" width="6.85185185185185" style="4" customWidth="1"/>
    <col min="14088" max="14088" width="6.42592592592593" style="4" customWidth="1"/>
    <col min="14089" max="14089" width="6" style="4" customWidth="1"/>
    <col min="14090" max="14091" width="6.28703703703704" style="4" customWidth="1"/>
    <col min="14092" max="14092" width="6" style="4" customWidth="1"/>
    <col min="14093" max="14093" width="5.28703703703704" style="4" customWidth="1"/>
    <col min="14094" max="14104" width="6" style="4" customWidth="1"/>
    <col min="14105" max="14105" width="7.13888888888889" style="4" customWidth="1"/>
    <col min="14106" max="14106" width="6" style="4" customWidth="1"/>
    <col min="14107" max="14336" width="9.13888888888889" style="4"/>
    <col min="14337" max="14337" width="4.85185185185185" style="4" customWidth="1"/>
    <col min="14338" max="14338" width="33" style="4" customWidth="1"/>
    <col min="14339" max="14339" width="5.13888888888889" style="4" customWidth="1"/>
    <col min="14340" max="14340" width="5.71296296296296" style="4" customWidth="1"/>
    <col min="14341" max="14341" width="8" style="4" customWidth="1"/>
    <col min="14342" max="14342" width="5.57407407407407" style="4" customWidth="1"/>
    <col min="14343" max="14343" width="6.85185185185185" style="4" customWidth="1"/>
    <col min="14344" max="14344" width="6.42592592592593" style="4" customWidth="1"/>
    <col min="14345" max="14345" width="6" style="4" customWidth="1"/>
    <col min="14346" max="14347" width="6.28703703703704" style="4" customWidth="1"/>
    <col min="14348" max="14348" width="6" style="4" customWidth="1"/>
    <col min="14349" max="14349" width="5.28703703703704" style="4" customWidth="1"/>
    <col min="14350" max="14360" width="6" style="4" customWidth="1"/>
    <col min="14361" max="14361" width="7.13888888888889" style="4" customWidth="1"/>
    <col min="14362" max="14362" width="6" style="4" customWidth="1"/>
    <col min="14363" max="14592" width="9.13888888888889" style="4"/>
    <col min="14593" max="14593" width="4.85185185185185" style="4" customWidth="1"/>
    <col min="14594" max="14594" width="33" style="4" customWidth="1"/>
    <col min="14595" max="14595" width="5.13888888888889" style="4" customWidth="1"/>
    <col min="14596" max="14596" width="5.71296296296296" style="4" customWidth="1"/>
    <col min="14597" max="14597" width="8" style="4" customWidth="1"/>
    <col min="14598" max="14598" width="5.57407407407407" style="4" customWidth="1"/>
    <col min="14599" max="14599" width="6.85185185185185" style="4" customWidth="1"/>
    <col min="14600" max="14600" width="6.42592592592593" style="4" customWidth="1"/>
    <col min="14601" max="14601" width="6" style="4" customWidth="1"/>
    <col min="14602" max="14603" width="6.28703703703704" style="4" customWidth="1"/>
    <col min="14604" max="14604" width="6" style="4" customWidth="1"/>
    <col min="14605" max="14605" width="5.28703703703704" style="4" customWidth="1"/>
    <col min="14606" max="14616" width="6" style="4" customWidth="1"/>
    <col min="14617" max="14617" width="7.13888888888889" style="4" customWidth="1"/>
    <col min="14618" max="14618" width="6" style="4" customWidth="1"/>
    <col min="14619" max="14848" width="9.13888888888889" style="4"/>
    <col min="14849" max="14849" width="4.85185185185185" style="4" customWidth="1"/>
    <col min="14850" max="14850" width="33" style="4" customWidth="1"/>
    <col min="14851" max="14851" width="5.13888888888889" style="4" customWidth="1"/>
    <col min="14852" max="14852" width="5.71296296296296" style="4" customWidth="1"/>
    <col min="14853" max="14853" width="8" style="4" customWidth="1"/>
    <col min="14854" max="14854" width="5.57407407407407" style="4" customWidth="1"/>
    <col min="14855" max="14855" width="6.85185185185185" style="4" customWidth="1"/>
    <col min="14856" max="14856" width="6.42592592592593" style="4" customWidth="1"/>
    <col min="14857" max="14857" width="6" style="4" customWidth="1"/>
    <col min="14858" max="14859" width="6.28703703703704" style="4" customWidth="1"/>
    <col min="14860" max="14860" width="6" style="4" customWidth="1"/>
    <col min="14861" max="14861" width="5.28703703703704" style="4" customWidth="1"/>
    <col min="14862" max="14872" width="6" style="4" customWidth="1"/>
    <col min="14873" max="14873" width="7.13888888888889" style="4" customWidth="1"/>
    <col min="14874" max="14874" width="6" style="4" customWidth="1"/>
    <col min="14875" max="15104" width="9.13888888888889" style="4"/>
    <col min="15105" max="15105" width="4.85185185185185" style="4" customWidth="1"/>
    <col min="15106" max="15106" width="33" style="4" customWidth="1"/>
    <col min="15107" max="15107" width="5.13888888888889" style="4" customWidth="1"/>
    <col min="15108" max="15108" width="5.71296296296296" style="4" customWidth="1"/>
    <col min="15109" max="15109" width="8" style="4" customWidth="1"/>
    <col min="15110" max="15110" width="5.57407407407407" style="4" customWidth="1"/>
    <col min="15111" max="15111" width="6.85185185185185" style="4" customWidth="1"/>
    <col min="15112" max="15112" width="6.42592592592593" style="4" customWidth="1"/>
    <col min="15113" max="15113" width="6" style="4" customWidth="1"/>
    <col min="15114" max="15115" width="6.28703703703704" style="4" customWidth="1"/>
    <col min="15116" max="15116" width="6" style="4" customWidth="1"/>
    <col min="15117" max="15117" width="5.28703703703704" style="4" customWidth="1"/>
    <col min="15118" max="15128" width="6" style="4" customWidth="1"/>
    <col min="15129" max="15129" width="7.13888888888889" style="4" customWidth="1"/>
    <col min="15130" max="15130" width="6" style="4" customWidth="1"/>
    <col min="15131" max="15360" width="9.13888888888889" style="4"/>
    <col min="15361" max="15361" width="4.85185185185185" style="4" customWidth="1"/>
    <col min="15362" max="15362" width="33" style="4" customWidth="1"/>
    <col min="15363" max="15363" width="5.13888888888889" style="4" customWidth="1"/>
    <col min="15364" max="15364" width="5.71296296296296" style="4" customWidth="1"/>
    <col min="15365" max="15365" width="8" style="4" customWidth="1"/>
    <col min="15366" max="15366" width="5.57407407407407" style="4" customWidth="1"/>
    <col min="15367" max="15367" width="6.85185185185185" style="4" customWidth="1"/>
    <col min="15368" max="15368" width="6.42592592592593" style="4" customWidth="1"/>
    <col min="15369" max="15369" width="6" style="4" customWidth="1"/>
    <col min="15370" max="15371" width="6.28703703703704" style="4" customWidth="1"/>
    <col min="15372" max="15372" width="6" style="4" customWidth="1"/>
    <col min="15373" max="15373" width="5.28703703703704" style="4" customWidth="1"/>
    <col min="15374" max="15384" width="6" style="4" customWidth="1"/>
    <col min="15385" max="15385" width="7.13888888888889" style="4" customWidth="1"/>
    <col min="15386" max="15386" width="6" style="4" customWidth="1"/>
    <col min="15387" max="15616" width="9.13888888888889" style="4"/>
    <col min="15617" max="15617" width="4.85185185185185" style="4" customWidth="1"/>
    <col min="15618" max="15618" width="33" style="4" customWidth="1"/>
    <col min="15619" max="15619" width="5.13888888888889" style="4" customWidth="1"/>
    <col min="15620" max="15620" width="5.71296296296296" style="4" customWidth="1"/>
    <col min="15621" max="15621" width="8" style="4" customWidth="1"/>
    <col min="15622" max="15622" width="5.57407407407407" style="4" customWidth="1"/>
    <col min="15623" max="15623" width="6.85185185185185" style="4" customWidth="1"/>
    <col min="15624" max="15624" width="6.42592592592593" style="4" customWidth="1"/>
    <col min="15625" max="15625" width="6" style="4" customWidth="1"/>
    <col min="15626" max="15627" width="6.28703703703704" style="4" customWidth="1"/>
    <col min="15628" max="15628" width="6" style="4" customWidth="1"/>
    <col min="15629" max="15629" width="5.28703703703704" style="4" customWidth="1"/>
    <col min="15630" max="15640" width="6" style="4" customWidth="1"/>
    <col min="15641" max="15641" width="7.13888888888889" style="4" customWidth="1"/>
    <col min="15642" max="15642" width="6" style="4" customWidth="1"/>
    <col min="15643" max="15872" width="9.13888888888889" style="4"/>
    <col min="15873" max="15873" width="4.85185185185185" style="4" customWidth="1"/>
    <col min="15874" max="15874" width="33" style="4" customWidth="1"/>
    <col min="15875" max="15875" width="5.13888888888889" style="4" customWidth="1"/>
    <col min="15876" max="15876" width="5.71296296296296" style="4" customWidth="1"/>
    <col min="15877" max="15877" width="8" style="4" customWidth="1"/>
    <col min="15878" max="15878" width="5.57407407407407" style="4" customWidth="1"/>
    <col min="15879" max="15879" width="6.85185185185185" style="4" customWidth="1"/>
    <col min="15880" max="15880" width="6.42592592592593" style="4" customWidth="1"/>
    <col min="15881" max="15881" width="6" style="4" customWidth="1"/>
    <col min="15882" max="15883" width="6.28703703703704" style="4" customWidth="1"/>
    <col min="15884" max="15884" width="6" style="4" customWidth="1"/>
    <col min="15885" max="15885" width="5.28703703703704" style="4" customWidth="1"/>
    <col min="15886" max="15896" width="6" style="4" customWidth="1"/>
    <col min="15897" max="15897" width="7.13888888888889" style="4" customWidth="1"/>
    <col min="15898" max="15898" width="6" style="4" customWidth="1"/>
    <col min="15899" max="16128" width="9.13888888888889" style="4"/>
    <col min="16129" max="16129" width="4.85185185185185" style="4" customWidth="1"/>
    <col min="16130" max="16130" width="33" style="4" customWidth="1"/>
    <col min="16131" max="16131" width="5.13888888888889" style="4" customWidth="1"/>
    <col min="16132" max="16132" width="5.71296296296296" style="4" customWidth="1"/>
    <col min="16133" max="16133" width="8" style="4" customWidth="1"/>
    <col min="16134" max="16134" width="5.57407407407407" style="4" customWidth="1"/>
    <col min="16135" max="16135" width="6.85185185185185" style="4" customWidth="1"/>
    <col min="16136" max="16136" width="6.42592592592593" style="4" customWidth="1"/>
    <col min="16137" max="16137" width="6" style="4" customWidth="1"/>
    <col min="16138" max="16139" width="6.28703703703704" style="4" customWidth="1"/>
    <col min="16140" max="16140" width="6" style="4" customWidth="1"/>
    <col min="16141" max="16141" width="5.28703703703704" style="4" customWidth="1"/>
    <col min="16142" max="16152" width="6" style="4" customWidth="1"/>
    <col min="16153" max="16153" width="7.13888888888889" style="4" customWidth="1"/>
    <col min="16154" max="16154" width="6" style="4" customWidth="1"/>
    <col min="16155" max="16384" width="9.13888888888889" style="4"/>
  </cols>
  <sheetData>
    <row r="1" ht="20.25" customHeight="1" spans="1:2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" customHeight="1" spans="1:26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7.25" customHeight="1" spans="1:26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7.25" customHeight="1" spans="1:26">
      <c r="A4" s="8" t="s">
        <v>3</v>
      </c>
      <c r="B4" s="9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74" t="s">
        <v>14</v>
      </c>
      <c r="M4" s="74"/>
      <c r="N4" s="10" t="s">
        <v>15</v>
      </c>
      <c r="O4" s="10" t="s">
        <v>16</v>
      </c>
      <c r="P4" s="10" t="s">
        <v>17</v>
      </c>
      <c r="Q4" s="90" t="s">
        <v>18</v>
      </c>
      <c r="R4" s="10" t="s">
        <v>19</v>
      </c>
      <c r="S4" s="10" t="s">
        <v>20</v>
      </c>
      <c r="T4" s="10" t="s">
        <v>21</v>
      </c>
      <c r="U4" s="90" t="s">
        <v>22</v>
      </c>
      <c r="V4" s="90" t="s">
        <v>23</v>
      </c>
      <c r="W4" s="10" t="s">
        <v>24</v>
      </c>
      <c r="X4" s="10" t="s">
        <v>25</v>
      </c>
      <c r="Y4" s="10" t="s">
        <v>26</v>
      </c>
      <c r="Z4" s="10" t="s">
        <v>27</v>
      </c>
    </row>
    <row r="5" ht="48.75" customHeight="1" spans="1:26">
      <c r="A5" s="8"/>
      <c r="B5" s="9"/>
      <c r="C5" s="10"/>
      <c r="D5" s="10"/>
      <c r="E5" s="10"/>
      <c r="F5" s="10"/>
      <c r="G5" s="10"/>
      <c r="H5" s="10"/>
      <c r="I5" s="10"/>
      <c r="J5" s="10"/>
      <c r="K5" s="10"/>
      <c r="L5" s="75" t="s">
        <v>28</v>
      </c>
      <c r="M5" s="75" t="s">
        <v>29</v>
      </c>
      <c r="N5" s="10"/>
      <c r="O5" s="10"/>
      <c r="P5" s="10"/>
      <c r="Q5" s="91"/>
      <c r="R5" s="10"/>
      <c r="S5" s="10"/>
      <c r="T5" s="10"/>
      <c r="U5" s="91"/>
      <c r="V5" s="91"/>
      <c r="W5" s="10"/>
      <c r="X5" s="10"/>
      <c r="Y5" s="10"/>
      <c r="Z5" s="10"/>
    </row>
    <row r="6" ht="14.25" customHeight="1" spans="1:26">
      <c r="A6" s="11" t="s">
        <v>30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 spans="1:26">
      <c r="A7" s="12">
        <v>1</v>
      </c>
      <c r="B7" s="13" t="s">
        <v>31</v>
      </c>
      <c r="C7" s="14">
        <v>3</v>
      </c>
      <c r="D7" s="15">
        <v>4</v>
      </c>
      <c r="E7" s="16" t="s">
        <v>32</v>
      </c>
      <c r="F7" s="15"/>
      <c r="G7" s="15" t="s">
        <v>33</v>
      </c>
      <c r="H7" s="17"/>
      <c r="I7" s="17"/>
      <c r="J7" s="17"/>
      <c r="K7" s="17"/>
      <c r="L7" s="76"/>
      <c r="M7" s="17"/>
      <c r="N7" s="51"/>
      <c r="O7" s="51"/>
      <c r="P7" s="77">
        <v>12</v>
      </c>
      <c r="Q7" s="79"/>
      <c r="R7" s="81"/>
      <c r="S7" s="81"/>
      <c r="T7" s="92"/>
      <c r="U7" s="92"/>
      <c r="V7" s="92"/>
      <c r="W7" s="92"/>
      <c r="X7" s="92"/>
      <c r="Y7" s="102"/>
      <c r="Z7" s="103"/>
    </row>
    <row r="8" spans="1:26">
      <c r="A8" s="12">
        <v>2</v>
      </c>
      <c r="B8" s="13" t="s">
        <v>34</v>
      </c>
      <c r="C8" s="14">
        <v>3</v>
      </c>
      <c r="D8" s="18">
        <v>59</v>
      </c>
      <c r="E8" s="16" t="s">
        <v>32</v>
      </c>
      <c r="F8" s="15">
        <v>2</v>
      </c>
      <c r="G8" s="15" t="s">
        <v>33</v>
      </c>
      <c r="H8" s="18">
        <v>18</v>
      </c>
      <c r="I8" s="17"/>
      <c r="J8" s="18">
        <v>154.8</v>
      </c>
      <c r="K8" s="17"/>
      <c r="L8" s="18">
        <v>6.37</v>
      </c>
      <c r="M8" s="17"/>
      <c r="N8" s="18">
        <v>8.85</v>
      </c>
      <c r="O8" s="51"/>
      <c r="P8" s="78"/>
      <c r="Q8" s="81"/>
      <c r="R8" s="79"/>
      <c r="S8" s="28"/>
      <c r="T8" s="26"/>
      <c r="U8" s="26"/>
      <c r="V8" s="26"/>
      <c r="W8" s="26"/>
      <c r="X8" s="26"/>
      <c r="Y8" s="102">
        <f t="shared" ref="Y8:Y14" si="0">SUM(H8:X8)</f>
        <v>188.02</v>
      </c>
      <c r="Z8" s="24"/>
    </row>
    <row r="9" spans="1:26">
      <c r="A9" s="9">
        <v>3</v>
      </c>
      <c r="B9" s="13" t="s">
        <v>35</v>
      </c>
      <c r="C9" s="15">
        <v>4</v>
      </c>
      <c r="D9" s="18">
        <v>40</v>
      </c>
      <c r="E9" s="16" t="s">
        <v>32</v>
      </c>
      <c r="F9" s="18">
        <v>1.5</v>
      </c>
      <c r="G9" s="15" t="s">
        <v>33</v>
      </c>
      <c r="H9" s="18">
        <v>24</v>
      </c>
      <c r="I9" s="17"/>
      <c r="J9" s="18">
        <v>72</v>
      </c>
      <c r="K9" s="17"/>
      <c r="L9" s="18">
        <v>3.84</v>
      </c>
      <c r="M9" s="17"/>
      <c r="N9" s="18">
        <v>6</v>
      </c>
      <c r="O9" s="79"/>
      <c r="P9" s="79"/>
      <c r="Q9" s="79"/>
      <c r="R9" s="81"/>
      <c r="S9" s="28"/>
      <c r="T9" s="26"/>
      <c r="U9" s="26"/>
      <c r="V9" s="26"/>
      <c r="W9" s="26"/>
      <c r="X9" s="26"/>
      <c r="Y9" s="9">
        <f t="shared" si="0"/>
        <v>105.84</v>
      </c>
      <c r="Z9" s="24"/>
    </row>
    <row r="10" spans="1:26">
      <c r="A10" s="9">
        <v>4</v>
      </c>
      <c r="B10" s="19" t="s">
        <v>34</v>
      </c>
      <c r="C10" s="20">
        <v>3</v>
      </c>
      <c r="D10" s="20">
        <v>9</v>
      </c>
      <c r="E10" s="21" t="s">
        <v>32</v>
      </c>
      <c r="F10" s="22">
        <v>0.5</v>
      </c>
      <c r="G10" s="20" t="s">
        <v>36</v>
      </c>
      <c r="H10" s="22">
        <f>4/2</f>
        <v>2</v>
      </c>
      <c r="I10" s="28"/>
      <c r="J10" s="22">
        <f>5/2</f>
        <v>2.5</v>
      </c>
      <c r="K10" s="28"/>
      <c r="L10" s="22">
        <f>0.32/2</f>
        <v>0.16</v>
      </c>
      <c r="M10" s="22"/>
      <c r="N10" s="22">
        <v>1.35</v>
      </c>
      <c r="O10" s="22"/>
      <c r="P10" s="28"/>
      <c r="Q10" s="28"/>
      <c r="R10" s="79"/>
      <c r="S10" s="28"/>
      <c r="T10" s="26"/>
      <c r="U10" s="26"/>
      <c r="V10" s="26"/>
      <c r="W10" s="26"/>
      <c r="X10" s="26"/>
      <c r="Y10" s="9">
        <f t="shared" si="0"/>
        <v>6.01</v>
      </c>
      <c r="Z10" s="24"/>
    </row>
    <row r="11" spans="1:26">
      <c r="A11" s="9">
        <v>5</v>
      </c>
      <c r="B11" s="23" t="s">
        <v>37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8"/>
      <c r="S11" s="28"/>
      <c r="T11" s="26"/>
      <c r="U11" s="26"/>
      <c r="V11" s="26"/>
      <c r="W11" s="26"/>
      <c r="X11" s="26"/>
      <c r="Y11" s="9">
        <f t="shared" si="0"/>
        <v>0</v>
      </c>
      <c r="Z11" s="24"/>
    </row>
    <row r="12" spans="1:26">
      <c r="A12" s="9">
        <v>6</v>
      </c>
      <c r="B12" s="25"/>
      <c r="C12" s="26"/>
      <c r="D12" s="26"/>
      <c r="E12" s="27"/>
      <c r="F12" s="26"/>
      <c r="G12" s="26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6"/>
      <c r="U12" s="26"/>
      <c r="V12" s="26"/>
      <c r="W12" s="26"/>
      <c r="X12" s="26"/>
      <c r="Y12" s="9">
        <f t="shared" si="0"/>
        <v>0</v>
      </c>
      <c r="Z12" s="24"/>
    </row>
    <row r="13" spans="1:26">
      <c r="A13" s="9">
        <v>7</v>
      </c>
      <c r="B13" s="25"/>
      <c r="C13" s="26"/>
      <c r="D13" s="26"/>
      <c r="E13" s="27"/>
      <c r="F13" s="26"/>
      <c r="G13" s="26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6"/>
      <c r="U13" s="26"/>
      <c r="V13" s="26"/>
      <c r="W13" s="26"/>
      <c r="X13" s="26"/>
      <c r="Y13" s="9">
        <f t="shared" si="0"/>
        <v>0</v>
      </c>
      <c r="Z13" s="24"/>
    </row>
    <row r="14" spans="1:26">
      <c r="A14" s="9">
        <v>8</v>
      </c>
      <c r="B14" s="25"/>
      <c r="C14" s="26"/>
      <c r="D14" s="26"/>
      <c r="E14" s="27"/>
      <c r="F14" s="26"/>
      <c r="G14" s="26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6"/>
      <c r="U14" s="26"/>
      <c r="V14" s="26"/>
      <c r="W14" s="26"/>
      <c r="X14" s="26"/>
      <c r="Y14" s="9">
        <f t="shared" si="0"/>
        <v>0</v>
      </c>
      <c r="Z14" s="24"/>
    </row>
    <row r="15" spans="1:26">
      <c r="A15" s="9"/>
      <c r="B15" s="29" t="s">
        <v>38</v>
      </c>
      <c r="C15" s="26"/>
      <c r="D15" s="26"/>
      <c r="E15" s="27"/>
      <c r="F15" s="26"/>
      <c r="G15" s="26"/>
      <c r="H15" s="30">
        <f t="shared" ref="H15:P15" si="1">SUM(H7:H14)</f>
        <v>44</v>
      </c>
      <c r="I15" s="30">
        <f t="shared" si="1"/>
        <v>0</v>
      </c>
      <c r="J15" s="30">
        <f t="shared" si="1"/>
        <v>229.3</v>
      </c>
      <c r="K15" s="30">
        <f t="shared" si="1"/>
        <v>0</v>
      </c>
      <c r="L15" s="80">
        <f t="shared" si="1"/>
        <v>10.37</v>
      </c>
      <c r="M15" s="80">
        <f t="shared" si="1"/>
        <v>0</v>
      </c>
      <c r="N15" s="80">
        <f t="shared" si="1"/>
        <v>16.2</v>
      </c>
      <c r="O15" s="80">
        <f t="shared" si="1"/>
        <v>0</v>
      </c>
      <c r="P15" s="81">
        <f t="shared" si="1"/>
        <v>12</v>
      </c>
      <c r="Q15" s="28"/>
      <c r="R15" s="28"/>
      <c r="S15" s="28"/>
      <c r="T15" s="28"/>
      <c r="U15" s="28"/>
      <c r="V15" s="28"/>
      <c r="W15" s="28"/>
      <c r="X15" s="28"/>
      <c r="Y15" s="87">
        <f>SUM(Y7:Y14)</f>
        <v>299.87</v>
      </c>
      <c r="Z15" s="24"/>
    </row>
    <row r="16" spans="1:26">
      <c r="A16" s="31" t="s">
        <v>39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24"/>
    </row>
    <row r="17" spans="1:26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104"/>
    </row>
    <row r="18" spans="1:26">
      <c r="A18" s="33">
        <v>1</v>
      </c>
      <c r="B18" s="13" t="s">
        <v>34</v>
      </c>
      <c r="C18" s="14">
        <v>3</v>
      </c>
      <c r="D18" s="18">
        <v>4</v>
      </c>
      <c r="E18" s="16" t="s">
        <v>32</v>
      </c>
      <c r="F18" s="15"/>
      <c r="G18" s="15" t="s">
        <v>33</v>
      </c>
      <c r="H18" s="17"/>
      <c r="I18" s="82"/>
      <c r="J18" s="83">
        <v>14.4</v>
      </c>
      <c r="K18" s="82"/>
      <c r="L18" s="83">
        <v>0.43</v>
      </c>
      <c r="M18" s="82"/>
      <c r="N18" s="83">
        <v>0.6</v>
      </c>
      <c r="O18" s="84"/>
      <c r="P18" s="84"/>
      <c r="Q18" s="93"/>
      <c r="R18" s="93"/>
      <c r="S18" s="94"/>
      <c r="T18" s="41"/>
      <c r="U18" s="41"/>
      <c r="V18" s="41"/>
      <c r="W18" s="41"/>
      <c r="X18" s="41"/>
      <c r="Y18" s="39">
        <f t="shared" ref="Y18:Y26" si="2">SUM(H18:X18)</f>
        <v>15.43</v>
      </c>
      <c r="Z18" s="104"/>
    </row>
    <row r="19" spans="1:27">
      <c r="A19" s="33">
        <v>2</v>
      </c>
      <c r="B19" s="13" t="s">
        <v>35</v>
      </c>
      <c r="C19" s="14">
        <v>4</v>
      </c>
      <c r="D19" s="15">
        <v>1</v>
      </c>
      <c r="E19" s="16" t="s">
        <v>32</v>
      </c>
      <c r="F19" s="18">
        <v>0.1</v>
      </c>
      <c r="G19" s="15" t="s">
        <v>33</v>
      </c>
      <c r="H19" s="17"/>
      <c r="I19" s="82"/>
      <c r="J19" s="82"/>
      <c r="K19" s="82"/>
      <c r="L19" s="83">
        <v>0.1</v>
      </c>
      <c r="M19" s="83"/>
      <c r="N19" s="83">
        <v>0.15</v>
      </c>
      <c r="O19" s="85"/>
      <c r="P19" s="84"/>
      <c r="Q19" s="93"/>
      <c r="R19" s="93"/>
      <c r="S19" s="95"/>
      <c r="T19" s="41"/>
      <c r="U19" s="41"/>
      <c r="V19" s="41"/>
      <c r="W19" s="41"/>
      <c r="X19" s="41"/>
      <c r="Y19" s="39">
        <f t="shared" si="2"/>
        <v>0.25</v>
      </c>
      <c r="Z19" s="104"/>
      <c r="AA19" s="105"/>
    </row>
    <row r="20" spans="1:26">
      <c r="A20" s="33">
        <v>3</v>
      </c>
      <c r="B20" s="34" t="s">
        <v>34</v>
      </c>
      <c r="C20" s="15">
        <v>3</v>
      </c>
      <c r="D20" s="15">
        <v>8</v>
      </c>
      <c r="E20" s="16" t="s">
        <v>32</v>
      </c>
      <c r="F20" s="15">
        <v>0.3</v>
      </c>
      <c r="G20" s="15" t="s">
        <v>36</v>
      </c>
      <c r="H20" s="18">
        <f>2.4/2</f>
        <v>1.2</v>
      </c>
      <c r="I20" s="82"/>
      <c r="J20" s="83">
        <f>7/2</f>
        <v>3.5</v>
      </c>
      <c r="K20" s="82"/>
      <c r="L20" s="83">
        <f>0.29/2</f>
        <v>0.145</v>
      </c>
      <c r="M20" s="83"/>
      <c r="N20" s="83">
        <v>1.2</v>
      </c>
      <c r="O20" s="86"/>
      <c r="P20" s="84"/>
      <c r="Q20" s="93"/>
      <c r="R20" s="93"/>
      <c r="S20" s="95"/>
      <c r="T20" s="41"/>
      <c r="U20" s="41"/>
      <c r="V20" s="41"/>
      <c r="W20" s="41"/>
      <c r="X20" s="41"/>
      <c r="Y20" s="39">
        <f t="shared" si="2"/>
        <v>6.045</v>
      </c>
      <c r="Z20" s="104"/>
    </row>
    <row r="21" spans="1:26">
      <c r="A21" s="33">
        <v>4</v>
      </c>
      <c r="B21" s="13" t="s">
        <v>35</v>
      </c>
      <c r="C21" s="14">
        <v>4</v>
      </c>
      <c r="D21" s="15">
        <v>1</v>
      </c>
      <c r="E21" s="16" t="s">
        <v>32</v>
      </c>
      <c r="F21" s="18">
        <v>0.1</v>
      </c>
      <c r="G21" s="15" t="s">
        <v>36</v>
      </c>
      <c r="H21" s="18">
        <v>0.4</v>
      </c>
      <c r="I21" s="82"/>
      <c r="J21" s="83">
        <v>0.4</v>
      </c>
      <c r="K21" s="82"/>
      <c r="L21" s="83">
        <v>0.02</v>
      </c>
      <c r="M21" s="82"/>
      <c r="N21" s="83">
        <v>0.15</v>
      </c>
      <c r="O21" s="84"/>
      <c r="P21" s="84"/>
      <c r="Q21" s="93"/>
      <c r="R21" s="93"/>
      <c r="S21" s="95"/>
      <c r="T21" s="41"/>
      <c r="U21" s="41"/>
      <c r="V21" s="41"/>
      <c r="W21" s="41"/>
      <c r="X21" s="41"/>
      <c r="Y21" s="39">
        <f t="shared" si="2"/>
        <v>0.97</v>
      </c>
      <c r="Z21" s="104"/>
    </row>
    <row r="22" spans="1:26">
      <c r="A22" s="9">
        <v>5</v>
      </c>
      <c r="B22" s="23" t="s">
        <v>37</v>
      </c>
      <c r="C22" s="35"/>
      <c r="D22" s="26"/>
      <c r="E22" s="27"/>
      <c r="F22" s="26"/>
      <c r="G22" s="26"/>
      <c r="H22" s="36"/>
      <c r="I22" s="85"/>
      <c r="J22" s="85"/>
      <c r="K22" s="85"/>
      <c r="L22" s="85"/>
      <c r="M22" s="85"/>
      <c r="N22" s="85"/>
      <c r="O22" s="84"/>
      <c r="P22" s="84"/>
      <c r="Q22" s="93"/>
      <c r="R22" s="93"/>
      <c r="S22" s="95"/>
      <c r="T22" s="41"/>
      <c r="U22" s="41"/>
      <c r="V22" s="41"/>
      <c r="W22" s="41"/>
      <c r="X22" s="41"/>
      <c r="Y22" s="39">
        <f t="shared" si="2"/>
        <v>0</v>
      </c>
      <c r="Z22" s="104"/>
    </row>
    <row r="23" spans="1:26">
      <c r="A23" s="9">
        <v>6</v>
      </c>
      <c r="B23" s="37"/>
      <c r="C23" s="26"/>
      <c r="D23" s="26"/>
      <c r="E23" s="27"/>
      <c r="F23" s="26"/>
      <c r="G23" s="26"/>
      <c r="H23" s="38"/>
      <c r="I23" s="43"/>
      <c r="J23" s="43"/>
      <c r="K23" s="43"/>
      <c r="L23" s="43"/>
      <c r="M23" s="43"/>
      <c r="N23" s="43"/>
      <c r="O23" s="43"/>
      <c r="P23" s="43"/>
      <c r="Q23" s="93"/>
      <c r="R23" s="93"/>
      <c r="S23" s="93"/>
      <c r="T23" s="41"/>
      <c r="U23" s="41"/>
      <c r="V23" s="41"/>
      <c r="W23" s="41"/>
      <c r="X23" s="41"/>
      <c r="Y23" s="39">
        <f t="shared" si="2"/>
        <v>0</v>
      </c>
      <c r="Z23" s="104"/>
    </row>
    <row r="24" spans="1:26">
      <c r="A24" s="9">
        <v>7</v>
      </c>
      <c r="B24" s="37"/>
      <c r="C24" s="26"/>
      <c r="D24" s="26"/>
      <c r="E24" s="27"/>
      <c r="F24" s="26"/>
      <c r="G24" s="26"/>
      <c r="H24" s="38"/>
      <c r="I24" s="43"/>
      <c r="J24" s="43"/>
      <c r="K24" s="43"/>
      <c r="L24" s="43"/>
      <c r="M24" s="43"/>
      <c r="N24" s="43"/>
      <c r="O24" s="43"/>
      <c r="P24" s="43"/>
      <c r="Q24" s="93"/>
      <c r="R24" s="93"/>
      <c r="S24" s="93"/>
      <c r="T24" s="41"/>
      <c r="U24" s="41"/>
      <c r="V24" s="41"/>
      <c r="W24" s="41"/>
      <c r="X24" s="41"/>
      <c r="Y24" s="39">
        <f t="shared" si="2"/>
        <v>0</v>
      </c>
      <c r="Z24" s="104"/>
    </row>
    <row r="25" spans="1:26">
      <c r="A25" s="9">
        <v>8</v>
      </c>
      <c r="B25" s="37"/>
      <c r="C25" s="35"/>
      <c r="D25" s="26"/>
      <c r="E25" s="27"/>
      <c r="F25" s="26"/>
      <c r="G25" s="26"/>
      <c r="H25" s="38"/>
      <c r="I25" s="43"/>
      <c r="J25" s="43"/>
      <c r="K25" s="43"/>
      <c r="L25" s="43"/>
      <c r="M25" s="43"/>
      <c r="N25" s="43"/>
      <c r="O25" s="43"/>
      <c r="P25" s="43"/>
      <c r="Q25" s="93"/>
      <c r="R25" s="93"/>
      <c r="S25" s="93"/>
      <c r="T25" s="41"/>
      <c r="U25" s="41"/>
      <c r="V25" s="41"/>
      <c r="W25" s="41"/>
      <c r="X25" s="41"/>
      <c r="Y25" s="39">
        <f t="shared" si="2"/>
        <v>0</v>
      </c>
      <c r="Z25" s="106"/>
    </row>
    <row r="26" spans="1:26">
      <c r="A26" s="9">
        <v>9</v>
      </c>
      <c r="B26" s="37"/>
      <c r="C26" s="35"/>
      <c r="D26" s="26"/>
      <c r="E26" s="27"/>
      <c r="F26" s="26"/>
      <c r="G26" s="26"/>
      <c r="H26" s="38"/>
      <c r="I26" s="43"/>
      <c r="J26" s="43"/>
      <c r="K26" s="43"/>
      <c r="L26" s="43"/>
      <c r="M26" s="43"/>
      <c r="N26" s="43"/>
      <c r="O26" s="43"/>
      <c r="P26" s="43"/>
      <c r="Q26" s="93"/>
      <c r="R26" s="93"/>
      <c r="S26" s="93"/>
      <c r="T26" s="39"/>
      <c r="U26" s="39"/>
      <c r="V26" s="39"/>
      <c r="W26" s="39"/>
      <c r="X26" s="39"/>
      <c r="Y26" s="39">
        <f t="shared" si="2"/>
        <v>0</v>
      </c>
      <c r="Z26" s="104"/>
    </row>
    <row r="27" spans="1:26">
      <c r="A27" s="39"/>
      <c r="B27" s="40"/>
      <c r="C27" s="41"/>
      <c r="D27" s="41"/>
      <c r="E27" s="42"/>
      <c r="F27" s="41"/>
      <c r="G27" s="41"/>
      <c r="H27" s="43"/>
      <c r="I27" s="43"/>
      <c r="J27" s="43"/>
      <c r="K27" s="43"/>
      <c r="L27" s="43"/>
      <c r="M27" s="43"/>
      <c r="N27" s="43"/>
      <c r="O27" s="43"/>
      <c r="P27" s="43"/>
      <c r="Q27" s="93"/>
      <c r="R27" s="93"/>
      <c r="S27" s="93"/>
      <c r="T27" s="39"/>
      <c r="U27" s="39"/>
      <c r="V27" s="39"/>
      <c r="W27" s="39"/>
      <c r="X27" s="39"/>
      <c r="Y27" s="39"/>
      <c r="Z27" s="104"/>
    </row>
    <row r="28" spans="1:26">
      <c r="A28" s="9"/>
      <c r="B28" s="44" t="s">
        <v>40</v>
      </c>
      <c r="C28" s="26"/>
      <c r="D28" s="26"/>
      <c r="E28" s="26"/>
      <c r="F28" s="26"/>
      <c r="G28" s="26"/>
      <c r="H28" s="45">
        <f t="shared" ref="H28:P28" si="3">SUM(H18:H27)</f>
        <v>1.6</v>
      </c>
      <c r="I28" s="45">
        <f t="shared" si="3"/>
        <v>0</v>
      </c>
      <c r="J28" s="45">
        <f t="shared" si="3"/>
        <v>18.3</v>
      </c>
      <c r="K28" s="45">
        <f t="shared" si="3"/>
        <v>0</v>
      </c>
      <c r="L28" s="45">
        <f t="shared" si="3"/>
        <v>0.695</v>
      </c>
      <c r="M28" s="45">
        <f t="shared" si="3"/>
        <v>0</v>
      </c>
      <c r="N28" s="45">
        <f t="shared" si="3"/>
        <v>2.1</v>
      </c>
      <c r="O28" s="87">
        <f t="shared" si="3"/>
        <v>0</v>
      </c>
      <c r="P28" s="45">
        <f t="shared" si="3"/>
        <v>0</v>
      </c>
      <c r="Q28" s="45"/>
      <c r="R28" s="45"/>
      <c r="S28" s="45"/>
      <c r="T28" s="45"/>
      <c r="U28" s="45"/>
      <c r="V28" s="45"/>
      <c r="W28" s="45"/>
      <c r="X28" s="45"/>
      <c r="Y28" s="107">
        <f>SUM(H28:X28)</f>
        <v>22.695</v>
      </c>
      <c r="Z28" s="24"/>
    </row>
    <row r="29" spans="1:26">
      <c r="A29" s="9"/>
      <c r="B29" s="44" t="s">
        <v>41</v>
      </c>
      <c r="C29" s="26"/>
      <c r="D29" s="26"/>
      <c r="E29" s="26"/>
      <c r="F29" s="26"/>
      <c r="G29" s="26"/>
      <c r="H29" s="46">
        <f t="shared" ref="H29:P29" si="4">SUM(H18:H28)</f>
        <v>3.2</v>
      </c>
      <c r="I29" s="46">
        <f t="shared" si="4"/>
        <v>0</v>
      </c>
      <c r="J29" s="46">
        <f t="shared" si="4"/>
        <v>36.6</v>
      </c>
      <c r="K29" s="46">
        <f t="shared" si="4"/>
        <v>0</v>
      </c>
      <c r="L29" s="46">
        <f t="shared" si="4"/>
        <v>1.39</v>
      </c>
      <c r="M29" s="46">
        <f t="shared" si="4"/>
        <v>0</v>
      </c>
      <c r="N29" s="46">
        <f t="shared" si="4"/>
        <v>4.2</v>
      </c>
      <c r="O29" s="88">
        <f t="shared" si="4"/>
        <v>0</v>
      </c>
      <c r="P29" s="46">
        <f t="shared" si="4"/>
        <v>0</v>
      </c>
      <c r="Q29" s="96"/>
      <c r="R29" s="96"/>
      <c r="S29" s="46"/>
      <c r="T29" s="96"/>
      <c r="U29" s="96"/>
      <c r="V29" s="96"/>
      <c r="W29" s="96"/>
      <c r="X29" s="96"/>
      <c r="Y29" s="96">
        <f>SUM(Y28,Y15)</f>
        <v>322.565</v>
      </c>
      <c r="Z29" s="108"/>
    </row>
    <row r="30" s="1" customFormat="1" spans="1:26">
      <c r="A30" s="47" t="s">
        <v>42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="1" customFormat="1" spans="1:26">
      <c r="A31" s="12">
        <v>1</v>
      </c>
      <c r="B31" s="13" t="s">
        <v>34</v>
      </c>
      <c r="C31" s="48">
        <v>3</v>
      </c>
      <c r="D31" s="49">
        <v>59</v>
      </c>
      <c r="E31" s="50" t="s">
        <v>32</v>
      </c>
      <c r="F31" s="51">
        <v>2</v>
      </c>
      <c r="G31" s="51" t="s">
        <v>33</v>
      </c>
      <c r="H31" s="49">
        <v>32</v>
      </c>
      <c r="I31" s="17"/>
      <c r="J31" s="49">
        <v>137.6</v>
      </c>
      <c r="K31" s="51"/>
      <c r="L31" s="49">
        <v>7.55</v>
      </c>
      <c r="M31" s="49">
        <v>4.72</v>
      </c>
      <c r="N31" s="17"/>
      <c r="O31" s="49">
        <v>19.47</v>
      </c>
      <c r="P31" s="17"/>
      <c r="Q31" s="17"/>
      <c r="R31" s="97"/>
      <c r="S31" s="97"/>
      <c r="T31" s="97"/>
      <c r="U31" s="77"/>
      <c r="V31" s="77"/>
      <c r="W31" s="77"/>
      <c r="X31" s="77"/>
      <c r="Y31" s="12">
        <f t="shared" ref="Y31:Y39" si="5">SUM(H31:X31)</f>
        <v>201.34</v>
      </c>
      <c r="Z31" s="109"/>
    </row>
    <row r="32" spans="1:26">
      <c r="A32" s="12">
        <v>2</v>
      </c>
      <c r="B32" s="13" t="s">
        <v>43</v>
      </c>
      <c r="C32" s="48">
        <v>3</v>
      </c>
      <c r="D32" s="48">
        <v>4</v>
      </c>
      <c r="E32" s="50" t="s">
        <v>32</v>
      </c>
      <c r="F32" s="51"/>
      <c r="G32" s="51" t="s">
        <v>33</v>
      </c>
      <c r="H32" s="17"/>
      <c r="I32" s="17"/>
      <c r="J32" s="17"/>
      <c r="K32" s="17"/>
      <c r="L32" s="17"/>
      <c r="M32" s="17"/>
      <c r="N32" s="17"/>
      <c r="O32" s="17"/>
      <c r="P32" s="17">
        <v>12</v>
      </c>
      <c r="Q32" s="55"/>
      <c r="R32" s="36"/>
      <c r="S32" s="36"/>
      <c r="T32" s="36"/>
      <c r="U32" s="79"/>
      <c r="V32" s="79"/>
      <c r="W32" s="79"/>
      <c r="X32" s="79"/>
      <c r="Y32" s="9">
        <f t="shared" si="5"/>
        <v>12</v>
      </c>
      <c r="Z32" s="24"/>
    </row>
    <row r="33" s="1" customFormat="1" spans="1:26">
      <c r="A33" s="12">
        <v>3</v>
      </c>
      <c r="B33" s="13" t="s">
        <v>44</v>
      </c>
      <c r="C33" s="48">
        <v>4</v>
      </c>
      <c r="D33" s="48">
        <v>40</v>
      </c>
      <c r="E33" s="50" t="s">
        <v>32</v>
      </c>
      <c r="F33" s="49">
        <v>1.5</v>
      </c>
      <c r="G33" s="51" t="s">
        <v>33</v>
      </c>
      <c r="H33" s="49">
        <v>10</v>
      </c>
      <c r="I33" s="17"/>
      <c r="J33" s="49">
        <v>60</v>
      </c>
      <c r="K33" s="51"/>
      <c r="L33" s="49">
        <v>2.4</v>
      </c>
      <c r="M33" s="49">
        <v>3.2</v>
      </c>
      <c r="N33" s="17"/>
      <c r="O33" s="49">
        <v>13.2</v>
      </c>
      <c r="P33" s="17"/>
      <c r="Q33" s="17"/>
      <c r="R33" s="97"/>
      <c r="S33" s="97"/>
      <c r="T33" s="97"/>
      <c r="U33" s="77"/>
      <c r="V33" s="77"/>
      <c r="W33" s="77"/>
      <c r="X33" s="77"/>
      <c r="Y33" s="12">
        <f t="shared" si="5"/>
        <v>88.8</v>
      </c>
      <c r="Z33" s="109"/>
    </row>
    <row r="34" s="1" customFormat="1" spans="1:26">
      <c r="A34" s="12">
        <v>4</v>
      </c>
      <c r="B34" s="13" t="s">
        <v>45</v>
      </c>
      <c r="C34" s="48">
        <v>4</v>
      </c>
      <c r="D34" s="48">
        <v>4</v>
      </c>
      <c r="E34" s="50" t="s">
        <v>32</v>
      </c>
      <c r="F34" s="51"/>
      <c r="G34" s="51" t="s">
        <v>33</v>
      </c>
      <c r="H34" s="17"/>
      <c r="I34" s="17"/>
      <c r="J34" s="17"/>
      <c r="K34" s="17"/>
      <c r="L34" s="17"/>
      <c r="M34" s="17"/>
      <c r="N34" s="17"/>
      <c r="O34" s="17"/>
      <c r="P34" s="17"/>
      <c r="Q34" s="17">
        <v>80</v>
      </c>
      <c r="R34" s="97"/>
      <c r="S34" s="97"/>
      <c r="T34" s="97"/>
      <c r="U34" s="77"/>
      <c r="V34" s="77"/>
      <c r="W34" s="77"/>
      <c r="X34" s="77"/>
      <c r="Y34" s="12">
        <f t="shared" si="5"/>
        <v>80</v>
      </c>
      <c r="Z34" s="109"/>
    </row>
    <row r="35" s="1" customFormat="1" spans="1:26">
      <c r="A35" s="12">
        <v>5</v>
      </c>
      <c r="B35" s="13" t="s">
        <v>46</v>
      </c>
      <c r="C35" s="48" t="s">
        <v>47</v>
      </c>
      <c r="D35" s="48">
        <v>27</v>
      </c>
      <c r="E35" s="50" t="s">
        <v>48</v>
      </c>
      <c r="F35" s="51">
        <v>2</v>
      </c>
      <c r="G35" s="51" t="s">
        <v>33</v>
      </c>
      <c r="H35" s="49">
        <v>22</v>
      </c>
      <c r="I35" s="17"/>
      <c r="J35" s="49">
        <v>66</v>
      </c>
      <c r="K35" s="17"/>
      <c r="L35" s="49">
        <v>2.97</v>
      </c>
      <c r="M35" s="49">
        <v>2.16</v>
      </c>
      <c r="N35" s="49"/>
      <c r="O35" s="49">
        <v>8.91</v>
      </c>
      <c r="P35" s="17"/>
      <c r="Q35" s="17"/>
      <c r="R35" s="97"/>
      <c r="S35" s="97"/>
      <c r="T35" s="97"/>
      <c r="U35" s="77"/>
      <c r="V35" s="77"/>
      <c r="W35" s="77"/>
      <c r="X35" s="77"/>
      <c r="Y35" s="12">
        <f t="shared" si="5"/>
        <v>102.04</v>
      </c>
      <c r="Z35" s="109"/>
    </row>
    <row r="36" s="1" customFormat="1" spans="1:26">
      <c r="A36" s="12">
        <v>6</v>
      </c>
      <c r="B36" s="13" t="s">
        <v>49</v>
      </c>
      <c r="C36" s="48" t="s">
        <v>47</v>
      </c>
      <c r="D36" s="48">
        <v>24</v>
      </c>
      <c r="E36" s="50" t="s">
        <v>48</v>
      </c>
      <c r="F36" s="51">
        <v>1</v>
      </c>
      <c r="G36" s="51" t="s">
        <v>33</v>
      </c>
      <c r="H36" s="49">
        <v>22</v>
      </c>
      <c r="I36" s="49">
        <v>0</v>
      </c>
      <c r="J36" s="49">
        <v>66</v>
      </c>
      <c r="K36" s="17"/>
      <c r="L36" s="49">
        <v>2.64</v>
      </c>
      <c r="M36" s="49">
        <v>1.92</v>
      </c>
      <c r="N36" s="49"/>
      <c r="O36" s="49">
        <v>7.92</v>
      </c>
      <c r="P36" s="17"/>
      <c r="Q36" s="17"/>
      <c r="R36" s="97"/>
      <c r="S36" s="97"/>
      <c r="T36" s="97"/>
      <c r="U36" s="77"/>
      <c r="V36" s="77"/>
      <c r="W36" s="77"/>
      <c r="X36" s="77"/>
      <c r="Y36" s="12">
        <f t="shared" si="5"/>
        <v>100.48</v>
      </c>
      <c r="Z36" s="109"/>
    </row>
    <row r="37" spans="1:26">
      <c r="A37" s="9">
        <v>7</v>
      </c>
      <c r="B37" s="52" t="s">
        <v>50</v>
      </c>
      <c r="C37" s="53">
        <v>2</v>
      </c>
      <c r="D37" s="28">
        <v>4</v>
      </c>
      <c r="E37" s="54" t="s">
        <v>32</v>
      </c>
      <c r="F37" s="28"/>
      <c r="G37" s="28" t="s">
        <v>33</v>
      </c>
      <c r="H37" s="55"/>
      <c r="I37" s="55"/>
      <c r="J37" s="55"/>
      <c r="K37" s="55"/>
      <c r="L37" s="55"/>
      <c r="M37" s="55"/>
      <c r="N37" s="55"/>
      <c r="O37" s="55"/>
      <c r="P37" s="55">
        <v>12</v>
      </c>
      <c r="Q37" s="55"/>
      <c r="R37" s="36"/>
      <c r="S37" s="36"/>
      <c r="T37" s="36"/>
      <c r="U37" s="98"/>
      <c r="V37" s="98"/>
      <c r="W37" s="79"/>
      <c r="X37" s="79"/>
      <c r="Y37" s="9">
        <f t="shared" si="5"/>
        <v>12</v>
      </c>
      <c r="Z37" s="24"/>
    </row>
    <row r="38" s="1" customFormat="1" spans="1:26">
      <c r="A38" s="12">
        <v>8</v>
      </c>
      <c r="B38" s="56" t="s">
        <v>34</v>
      </c>
      <c r="C38" s="51">
        <v>3</v>
      </c>
      <c r="D38" s="51">
        <v>9</v>
      </c>
      <c r="E38" s="50" t="s">
        <v>32</v>
      </c>
      <c r="F38" s="49">
        <v>0.5</v>
      </c>
      <c r="G38" s="51" t="s">
        <v>36</v>
      </c>
      <c r="H38" s="49">
        <f>4/2</f>
        <v>2</v>
      </c>
      <c r="I38" s="51"/>
      <c r="J38" s="49">
        <f>5/2</f>
        <v>2.5</v>
      </c>
      <c r="K38" s="51"/>
      <c r="L38" s="49">
        <f>0.32/2</f>
        <v>0.16</v>
      </c>
      <c r="M38" s="49">
        <v>0.72</v>
      </c>
      <c r="N38" s="49"/>
      <c r="O38" s="49">
        <v>2.97</v>
      </c>
      <c r="P38" s="17"/>
      <c r="Q38" s="17"/>
      <c r="R38" s="97"/>
      <c r="S38" s="97"/>
      <c r="T38" s="97"/>
      <c r="U38" s="99"/>
      <c r="V38" s="99"/>
      <c r="W38" s="77"/>
      <c r="X38" s="77"/>
      <c r="Y38" s="12">
        <f t="shared" si="5"/>
        <v>8.35</v>
      </c>
      <c r="Z38" s="109"/>
    </row>
    <row r="39" spans="1:26">
      <c r="A39" s="9">
        <v>9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36"/>
      <c r="S39" s="36"/>
      <c r="T39" s="36"/>
      <c r="U39" s="98"/>
      <c r="V39" s="98"/>
      <c r="W39" s="79"/>
      <c r="X39" s="79"/>
      <c r="Y39" s="9">
        <f t="shared" si="5"/>
        <v>0</v>
      </c>
      <c r="Z39" s="24"/>
    </row>
    <row r="40" spans="1:26">
      <c r="A40" s="9"/>
      <c r="B40" s="44" t="s">
        <v>51</v>
      </c>
      <c r="C40" s="53"/>
      <c r="D40" s="26"/>
      <c r="E40" s="27"/>
      <c r="F40" s="26"/>
      <c r="G40" s="26"/>
      <c r="H40" s="58">
        <f t="shared" ref="H40:Q40" si="6">SUM(H31:H39)</f>
        <v>88</v>
      </c>
      <c r="I40" s="58">
        <f t="shared" si="6"/>
        <v>0</v>
      </c>
      <c r="J40" s="58">
        <f t="shared" si="6"/>
        <v>332.1</v>
      </c>
      <c r="K40" s="58">
        <f t="shared" si="6"/>
        <v>0</v>
      </c>
      <c r="L40" s="58">
        <f t="shared" si="6"/>
        <v>15.72</v>
      </c>
      <c r="M40" s="58">
        <f t="shared" si="6"/>
        <v>12.72</v>
      </c>
      <c r="N40" s="58">
        <f t="shared" si="6"/>
        <v>0</v>
      </c>
      <c r="O40" s="58">
        <f t="shared" si="6"/>
        <v>52.47</v>
      </c>
      <c r="P40" s="58">
        <f t="shared" si="6"/>
        <v>24</v>
      </c>
      <c r="Q40" s="58">
        <f t="shared" si="6"/>
        <v>80</v>
      </c>
      <c r="R40" s="58"/>
      <c r="S40" s="58"/>
      <c r="T40" s="58"/>
      <c r="U40" s="100"/>
      <c r="V40" s="100"/>
      <c r="W40" s="100"/>
      <c r="X40" s="100"/>
      <c r="Y40" s="110">
        <f>SUM(Y31:Y39)</f>
        <v>605.01</v>
      </c>
      <c r="Z40" s="24"/>
    </row>
    <row r="41" spans="1:26">
      <c r="A41" s="11" t="s">
        <v>52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="1" customFormat="1" spans="1:26">
      <c r="A42" s="12">
        <v>1</v>
      </c>
      <c r="B42" s="13" t="s">
        <v>34</v>
      </c>
      <c r="C42" s="48">
        <v>3</v>
      </c>
      <c r="D42" s="48">
        <v>4</v>
      </c>
      <c r="E42" s="16" t="s">
        <v>32</v>
      </c>
      <c r="F42" s="15"/>
      <c r="G42" s="15" t="s">
        <v>33</v>
      </c>
      <c r="H42" s="17"/>
      <c r="I42" s="17"/>
      <c r="J42" s="18">
        <v>12.8</v>
      </c>
      <c r="K42" s="15"/>
      <c r="L42" s="18">
        <v>0.51</v>
      </c>
      <c r="M42" s="18">
        <v>0.32</v>
      </c>
      <c r="N42" s="17"/>
      <c r="O42" s="18">
        <v>1.32</v>
      </c>
      <c r="P42" s="17"/>
      <c r="Q42" s="97"/>
      <c r="R42" s="97"/>
      <c r="S42" s="97"/>
      <c r="T42" s="97"/>
      <c r="U42" s="99"/>
      <c r="V42" s="99"/>
      <c r="W42" s="77"/>
      <c r="X42" s="77"/>
      <c r="Y42" s="111">
        <f t="shared" ref="Y42:Y50" si="7">SUM(H42:X42)</f>
        <v>14.95</v>
      </c>
      <c r="Z42" s="109"/>
    </row>
    <row r="43" s="1" customFormat="1" spans="1:26">
      <c r="A43" s="12">
        <v>2</v>
      </c>
      <c r="B43" s="13" t="s">
        <v>44</v>
      </c>
      <c r="C43" s="48">
        <v>4</v>
      </c>
      <c r="D43" s="48">
        <v>1</v>
      </c>
      <c r="E43" s="16" t="s">
        <v>32</v>
      </c>
      <c r="F43" s="18">
        <v>0.1</v>
      </c>
      <c r="G43" s="15" t="s">
        <v>33</v>
      </c>
      <c r="H43" s="17"/>
      <c r="I43" s="17"/>
      <c r="J43" s="17"/>
      <c r="K43" s="17"/>
      <c r="L43" s="18">
        <v>0.06</v>
      </c>
      <c r="M43" s="18">
        <v>0.08</v>
      </c>
      <c r="N43" s="18"/>
      <c r="O43" s="18">
        <v>0.33</v>
      </c>
      <c r="P43" s="17"/>
      <c r="Q43" s="97"/>
      <c r="R43" s="97"/>
      <c r="S43" s="97"/>
      <c r="T43" s="97"/>
      <c r="U43" s="99"/>
      <c r="V43" s="99"/>
      <c r="W43" s="77"/>
      <c r="X43" s="77"/>
      <c r="Y43" s="111">
        <f t="shared" si="7"/>
        <v>0.47</v>
      </c>
      <c r="Z43" s="109"/>
    </row>
    <row r="44" s="2" customFormat="1" spans="1:26">
      <c r="A44" s="9">
        <v>3</v>
      </c>
      <c r="B44" s="59" t="s">
        <v>34</v>
      </c>
      <c r="C44" s="20">
        <v>3</v>
      </c>
      <c r="D44" s="20">
        <v>8</v>
      </c>
      <c r="E44" s="21" t="s">
        <v>32</v>
      </c>
      <c r="F44" s="20">
        <v>0.3</v>
      </c>
      <c r="G44" s="20" t="s">
        <v>36</v>
      </c>
      <c r="H44" s="22">
        <f>2.4/2</f>
        <v>1.2</v>
      </c>
      <c r="I44" s="55"/>
      <c r="J44" s="22">
        <f>7/2</f>
        <v>3.5</v>
      </c>
      <c r="K44" s="55"/>
      <c r="L44" s="22">
        <f>0.29/2</f>
        <v>0.145</v>
      </c>
      <c r="M44" s="22">
        <v>0.64</v>
      </c>
      <c r="N44" s="22"/>
      <c r="O44" s="22">
        <v>2.64</v>
      </c>
      <c r="P44" s="55"/>
      <c r="Q44" s="36"/>
      <c r="R44" s="36"/>
      <c r="S44" s="36"/>
      <c r="T44" s="36"/>
      <c r="U44" s="98"/>
      <c r="V44" s="98"/>
      <c r="W44" s="79"/>
      <c r="X44" s="79"/>
      <c r="Y44" s="26">
        <f t="shared" si="7"/>
        <v>8.125</v>
      </c>
      <c r="Z44" s="24"/>
    </row>
    <row r="45" spans="1:26">
      <c r="A45" s="9">
        <v>4</v>
      </c>
      <c r="B45" s="52" t="s">
        <v>44</v>
      </c>
      <c r="C45" s="35">
        <v>4</v>
      </c>
      <c r="D45" s="22">
        <v>9</v>
      </c>
      <c r="E45" s="21" t="s">
        <v>32</v>
      </c>
      <c r="F45" s="22">
        <v>0.5</v>
      </c>
      <c r="G45" s="20" t="s">
        <v>36</v>
      </c>
      <c r="H45" s="22">
        <v>1</v>
      </c>
      <c r="I45" s="55"/>
      <c r="J45" s="22">
        <v>2</v>
      </c>
      <c r="K45" s="55"/>
      <c r="L45" s="22">
        <v>0.11</v>
      </c>
      <c r="M45" s="22">
        <v>0.72</v>
      </c>
      <c r="N45" s="22"/>
      <c r="O45" s="22">
        <v>2.97</v>
      </c>
      <c r="P45" s="55"/>
      <c r="Q45" s="36"/>
      <c r="R45" s="36"/>
      <c r="S45" s="36"/>
      <c r="T45" s="36"/>
      <c r="U45" s="98"/>
      <c r="V45" s="98"/>
      <c r="W45" s="79"/>
      <c r="X45" s="79"/>
      <c r="Y45" s="92">
        <f t="shared" si="7"/>
        <v>6.8</v>
      </c>
      <c r="Z45" s="24"/>
    </row>
    <row r="46" spans="1:26">
      <c r="A46" s="9">
        <v>5</v>
      </c>
      <c r="B46" s="52" t="s">
        <v>49</v>
      </c>
      <c r="C46" s="53" t="s">
        <v>47</v>
      </c>
      <c r="D46" s="53">
        <v>1</v>
      </c>
      <c r="E46" s="21" t="s">
        <v>48</v>
      </c>
      <c r="F46" s="20">
        <v>0</v>
      </c>
      <c r="G46" s="20" t="s">
        <v>33</v>
      </c>
      <c r="H46" s="20"/>
      <c r="I46" s="20"/>
      <c r="J46" s="20"/>
      <c r="K46" s="20"/>
      <c r="L46" s="22">
        <v>0.11</v>
      </c>
      <c r="M46" s="22">
        <v>0.08</v>
      </c>
      <c r="N46" s="22"/>
      <c r="O46" s="22">
        <v>0.33</v>
      </c>
      <c r="P46" s="55"/>
      <c r="Q46" s="36"/>
      <c r="R46" s="36"/>
      <c r="S46" s="36"/>
      <c r="T46" s="36"/>
      <c r="U46" s="98"/>
      <c r="V46" s="98"/>
      <c r="W46" s="79"/>
      <c r="X46" s="79"/>
      <c r="Y46" s="92">
        <f t="shared" si="7"/>
        <v>0.52</v>
      </c>
      <c r="Z46" s="24"/>
    </row>
    <row r="47" spans="1:26">
      <c r="A47" s="9">
        <v>6</v>
      </c>
      <c r="B47" s="37"/>
      <c r="C47" s="53"/>
      <c r="D47" s="53"/>
      <c r="E47" s="27"/>
      <c r="F47" s="26"/>
      <c r="G47" s="2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98"/>
      <c r="V47" s="98"/>
      <c r="W47" s="79"/>
      <c r="X47" s="79"/>
      <c r="Y47" s="26">
        <f t="shared" si="7"/>
        <v>0</v>
      </c>
      <c r="Z47" s="24"/>
    </row>
    <row r="48" spans="1:26">
      <c r="A48" s="9">
        <v>7</v>
      </c>
      <c r="B48" s="37"/>
      <c r="C48" s="53"/>
      <c r="D48" s="53"/>
      <c r="E48" s="27"/>
      <c r="F48" s="26"/>
      <c r="G48" s="2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98"/>
      <c r="V48" s="98"/>
      <c r="W48" s="9"/>
      <c r="X48" s="9"/>
      <c r="Y48" s="26">
        <f t="shared" si="7"/>
        <v>0</v>
      </c>
      <c r="Z48" s="24"/>
    </row>
    <row r="49" spans="1:26">
      <c r="A49" s="9">
        <v>8</v>
      </c>
      <c r="B49" s="37"/>
      <c r="C49" s="53"/>
      <c r="D49" s="53"/>
      <c r="E49" s="27"/>
      <c r="F49" s="26"/>
      <c r="G49" s="2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98"/>
      <c r="V49" s="98"/>
      <c r="W49" s="9"/>
      <c r="X49" s="9"/>
      <c r="Y49" s="26">
        <f t="shared" si="7"/>
        <v>0</v>
      </c>
      <c r="Z49" s="24"/>
    </row>
    <row r="50" spans="1:26">
      <c r="A50" s="9"/>
      <c r="B50" s="44" t="s">
        <v>53</v>
      </c>
      <c r="C50" s="26"/>
      <c r="D50" s="26"/>
      <c r="E50" s="26"/>
      <c r="F50" s="26"/>
      <c r="G50" s="26"/>
      <c r="H50" s="46">
        <f t="shared" ref="H50:Q50" si="8">SUM(H42:H49)</f>
        <v>2.2</v>
      </c>
      <c r="I50" s="46">
        <f t="shared" si="8"/>
        <v>0</v>
      </c>
      <c r="J50" s="46">
        <f t="shared" si="8"/>
        <v>18.3</v>
      </c>
      <c r="K50" s="46">
        <f t="shared" si="8"/>
        <v>0</v>
      </c>
      <c r="L50" s="46">
        <f t="shared" si="8"/>
        <v>0.935</v>
      </c>
      <c r="M50" s="88">
        <f t="shared" si="8"/>
        <v>1.84</v>
      </c>
      <c r="N50" s="88">
        <f t="shared" si="8"/>
        <v>0</v>
      </c>
      <c r="O50" s="46">
        <f t="shared" si="8"/>
        <v>7.59</v>
      </c>
      <c r="P50" s="46">
        <f t="shared" si="8"/>
        <v>0</v>
      </c>
      <c r="Q50" s="46">
        <f t="shared" si="8"/>
        <v>0</v>
      </c>
      <c r="R50" s="46"/>
      <c r="S50" s="46"/>
      <c r="T50" s="46"/>
      <c r="U50" s="46"/>
      <c r="V50" s="46"/>
      <c r="W50" s="46"/>
      <c r="X50" s="46"/>
      <c r="Y50" s="112">
        <f t="shared" si="7"/>
        <v>30.865</v>
      </c>
      <c r="Z50" s="24"/>
    </row>
    <row r="51" spans="1:26">
      <c r="A51" s="9"/>
      <c r="B51" s="44" t="s">
        <v>54</v>
      </c>
      <c r="C51" s="26"/>
      <c r="D51" s="26"/>
      <c r="E51" s="26"/>
      <c r="F51" s="26"/>
      <c r="G51" s="26"/>
      <c r="H51" s="46">
        <f t="shared" ref="H51:Q51" si="9">SUM(H42:H50)</f>
        <v>4.4</v>
      </c>
      <c r="I51" s="46">
        <f t="shared" si="9"/>
        <v>0</v>
      </c>
      <c r="J51" s="46">
        <f t="shared" si="9"/>
        <v>36.6</v>
      </c>
      <c r="K51" s="46">
        <f t="shared" si="9"/>
        <v>0</v>
      </c>
      <c r="L51" s="46">
        <f t="shared" si="9"/>
        <v>1.87</v>
      </c>
      <c r="M51" s="88">
        <f t="shared" si="9"/>
        <v>3.68</v>
      </c>
      <c r="N51" s="88">
        <f t="shared" si="9"/>
        <v>0</v>
      </c>
      <c r="O51" s="46">
        <f t="shared" si="9"/>
        <v>15.18</v>
      </c>
      <c r="P51" s="46">
        <f t="shared" si="9"/>
        <v>0</v>
      </c>
      <c r="Q51" s="46">
        <f t="shared" si="9"/>
        <v>0</v>
      </c>
      <c r="R51" s="46"/>
      <c r="S51" s="46"/>
      <c r="T51" s="46"/>
      <c r="U51" s="46"/>
      <c r="V51" s="46"/>
      <c r="W51" s="46"/>
      <c r="X51" s="46"/>
      <c r="Y51" s="112">
        <f>SUM(Y50,Y40)</f>
        <v>635.875</v>
      </c>
      <c r="Z51" s="24"/>
    </row>
    <row r="52" spans="1:26">
      <c r="A52" s="60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113"/>
    </row>
    <row r="53" spans="1:26">
      <c r="A53" s="62"/>
      <c r="B53" s="63" t="s">
        <v>55</v>
      </c>
      <c r="C53" s="64"/>
      <c r="D53" s="64"/>
      <c r="E53" s="64"/>
      <c r="F53" s="64"/>
      <c r="G53" s="64"/>
      <c r="H53" s="65">
        <f t="shared" ref="H53:Q53" si="10">SUM(H15,H40)</f>
        <v>132</v>
      </c>
      <c r="I53" s="65">
        <f t="shared" si="10"/>
        <v>0</v>
      </c>
      <c r="J53" s="65">
        <f t="shared" si="10"/>
        <v>561.4</v>
      </c>
      <c r="K53" s="65">
        <f t="shared" si="10"/>
        <v>0</v>
      </c>
      <c r="L53" s="89">
        <f t="shared" si="10"/>
        <v>26.09</v>
      </c>
      <c r="M53" s="89">
        <f t="shared" si="10"/>
        <v>12.72</v>
      </c>
      <c r="N53" s="89">
        <f t="shared" si="10"/>
        <v>16.2</v>
      </c>
      <c r="O53" s="65">
        <f t="shared" si="10"/>
        <v>52.47</v>
      </c>
      <c r="P53" s="65">
        <f t="shared" si="10"/>
        <v>36</v>
      </c>
      <c r="Q53" s="65">
        <f t="shared" si="10"/>
        <v>80</v>
      </c>
      <c r="R53" s="65"/>
      <c r="S53" s="65"/>
      <c r="T53" s="65"/>
      <c r="U53" s="65"/>
      <c r="V53" s="65"/>
      <c r="W53" s="65"/>
      <c r="X53" s="65"/>
      <c r="Y53" s="89">
        <f>SUM(Y15,Y40)</f>
        <v>904.88</v>
      </c>
      <c r="Z53" s="114"/>
    </row>
    <row r="54" spans="1:26">
      <c r="A54" s="62"/>
      <c r="B54" s="63" t="s">
        <v>56</v>
      </c>
      <c r="C54" s="64"/>
      <c r="D54" s="64"/>
      <c r="E54" s="64"/>
      <c r="F54" s="64"/>
      <c r="G54" s="64"/>
      <c r="H54" s="65">
        <f t="shared" ref="H54:Q54" si="11">SUM(H28,H50)</f>
        <v>3.8</v>
      </c>
      <c r="I54" s="65">
        <f t="shared" si="11"/>
        <v>0</v>
      </c>
      <c r="J54" s="65">
        <f t="shared" si="11"/>
        <v>36.6</v>
      </c>
      <c r="K54" s="65">
        <f t="shared" si="11"/>
        <v>0</v>
      </c>
      <c r="L54" s="89">
        <f t="shared" si="11"/>
        <v>1.63</v>
      </c>
      <c r="M54" s="89">
        <f t="shared" si="11"/>
        <v>1.84</v>
      </c>
      <c r="N54" s="89">
        <f t="shared" si="11"/>
        <v>2.1</v>
      </c>
      <c r="O54" s="65">
        <f t="shared" si="11"/>
        <v>7.59</v>
      </c>
      <c r="P54" s="65">
        <f t="shared" si="11"/>
        <v>0</v>
      </c>
      <c r="Q54" s="65">
        <f t="shared" si="11"/>
        <v>0</v>
      </c>
      <c r="R54" s="65"/>
      <c r="S54" s="65"/>
      <c r="T54" s="65"/>
      <c r="U54" s="65"/>
      <c r="V54" s="65"/>
      <c r="W54" s="65"/>
      <c r="X54" s="65"/>
      <c r="Y54" s="115">
        <f>SUM(Y28,Y50)</f>
        <v>53.56</v>
      </c>
      <c r="Z54" s="114"/>
    </row>
    <row r="55" spans="1:26">
      <c r="A55" s="62"/>
      <c r="B55" s="63" t="s">
        <v>57</v>
      </c>
      <c r="C55" s="64"/>
      <c r="D55" s="64"/>
      <c r="E55" s="64"/>
      <c r="F55" s="64"/>
      <c r="G55" s="64"/>
      <c r="H55" s="65">
        <f>SUM(H53:H54)</f>
        <v>135.8</v>
      </c>
      <c r="I55" s="65">
        <f t="shared" ref="I55:Q55" si="12">SUM(I53:I54)</f>
        <v>0</v>
      </c>
      <c r="J55" s="65">
        <f t="shared" si="12"/>
        <v>598</v>
      </c>
      <c r="K55" s="65">
        <f t="shared" si="12"/>
        <v>0</v>
      </c>
      <c r="L55" s="89">
        <f t="shared" si="12"/>
        <v>27.72</v>
      </c>
      <c r="M55" s="89">
        <f t="shared" si="12"/>
        <v>14.56</v>
      </c>
      <c r="N55" s="89">
        <f t="shared" si="12"/>
        <v>18.3</v>
      </c>
      <c r="O55" s="65">
        <f t="shared" si="12"/>
        <v>60.06</v>
      </c>
      <c r="P55" s="65">
        <f t="shared" si="12"/>
        <v>36</v>
      </c>
      <c r="Q55" s="65">
        <f t="shared" si="12"/>
        <v>80</v>
      </c>
      <c r="R55" s="65"/>
      <c r="S55" s="65"/>
      <c r="T55" s="65"/>
      <c r="U55" s="65"/>
      <c r="V55" s="65"/>
      <c r="W55" s="65"/>
      <c r="X55" s="65"/>
      <c r="Y55" s="89">
        <f>SUM(Y53:Y54)</f>
        <v>958.44</v>
      </c>
      <c r="Z55" s="114"/>
    </row>
    <row r="56" ht="15" customHeight="1" spans="2:2">
      <c r="B56" s="66"/>
    </row>
    <row r="57" spans="1:26">
      <c r="A57" s="67" t="s">
        <v>58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>
      <c r="A58" s="67" t="s">
        <v>59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spans="1:26">
      <c r="A59" s="62">
        <v>1</v>
      </c>
      <c r="B59" s="68"/>
      <c r="C59" s="64"/>
      <c r="D59" s="64"/>
      <c r="E59" s="69"/>
      <c r="F59" s="64"/>
      <c r="G59" s="64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62"/>
      <c r="Y59" s="64">
        <f t="shared" ref="Y59:Y64" si="13">SUM(H59:X59)</f>
        <v>0</v>
      </c>
      <c r="Z59" s="114"/>
    </row>
    <row r="60" spans="1:26">
      <c r="A60" s="62">
        <v>2</v>
      </c>
      <c r="B60" s="70"/>
      <c r="C60" s="64"/>
      <c r="D60" s="64"/>
      <c r="E60" s="69"/>
      <c r="F60" s="64"/>
      <c r="G60" s="64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62"/>
      <c r="Y60" s="64">
        <f t="shared" si="13"/>
        <v>0</v>
      </c>
      <c r="Z60" s="114"/>
    </row>
    <row r="61" spans="1:26">
      <c r="A61" s="62">
        <v>3</v>
      </c>
      <c r="B61" s="71"/>
      <c r="C61" s="64"/>
      <c r="D61" s="64"/>
      <c r="E61" s="69"/>
      <c r="F61" s="64"/>
      <c r="G61" s="64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62"/>
      <c r="Y61" s="64">
        <f t="shared" si="13"/>
        <v>0</v>
      </c>
      <c r="Z61" s="114"/>
    </row>
    <row r="62" spans="1:26">
      <c r="A62" s="62"/>
      <c r="B62" s="72" t="s">
        <v>60</v>
      </c>
      <c r="C62" s="64"/>
      <c r="D62" s="64"/>
      <c r="E62" s="69"/>
      <c r="F62" s="64"/>
      <c r="G62" s="64"/>
      <c r="H62" s="73"/>
      <c r="I62" s="73"/>
      <c r="J62" s="73">
        <f>SUM(J59:J61)</f>
        <v>0</v>
      </c>
      <c r="K62" s="73"/>
      <c r="L62" s="73"/>
      <c r="M62" s="73"/>
      <c r="N62" s="73"/>
      <c r="O62" s="73"/>
      <c r="P62" s="73">
        <f t="shared" ref="P62:Q62" si="14">SUM(P59:P61)</f>
        <v>0</v>
      </c>
      <c r="Q62" s="73">
        <f t="shared" si="14"/>
        <v>0</v>
      </c>
      <c r="R62" s="73"/>
      <c r="S62" s="73"/>
      <c r="T62" s="73"/>
      <c r="U62" s="73"/>
      <c r="V62" s="73"/>
      <c r="W62" s="73"/>
      <c r="X62" s="101"/>
      <c r="Y62" s="116">
        <f>SUM(Y59:Y61)</f>
        <v>0</v>
      </c>
      <c r="Z62" s="114"/>
    </row>
    <row r="63" spans="1:26">
      <c r="A63" s="67" t="s">
        <v>61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spans="1:26">
      <c r="A64" s="62">
        <v>4</v>
      </c>
      <c r="B64" s="71"/>
      <c r="C64" s="62"/>
      <c r="D64" s="62"/>
      <c r="E64" s="69"/>
      <c r="F64" s="62"/>
      <c r="G64" s="64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62"/>
      <c r="Y64" s="64">
        <f t="shared" si="13"/>
        <v>0</v>
      </c>
      <c r="Z64" s="114"/>
    </row>
    <row r="65" spans="1:26">
      <c r="A65" s="62"/>
      <c r="B65" s="72" t="s">
        <v>62</v>
      </c>
      <c r="C65" s="62"/>
      <c r="D65" s="101"/>
      <c r="E65" s="117"/>
      <c r="F65" s="101"/>
      <c r="G65" s="116"/>
      <c r="H65" s="73"/>
      <c r="I65" s="73"/>
      <c r="J65" s="73"/>
      <c r="K65" s="73"/>
      <c r="L65" s="73"/>
      <c r="M65" s="73"/>
      <c r="N65" s="73"/>
      <c r="O65" s="73"/>
      <c r="P65" s="73"/>
      <c r="Q65" s="73">
        <f>SUM(Q64)</f>
        <v>0</v>
      </c>
      <c r="R65" s="73"/>
      <c r="S65" s="73"/>
      <c r="T65" s="73"/>
      <c r="U65" s="73"/>
      <c r="V65" s="73"/>
      <c r="W65" s="73"/>
      <c r="X65" s="101"/>
      <c r="Y65" s="116">
        <f>SUM(Y64)</f>
        <v>0</v>
      </c>
      <c r="Z65" s="114"/>
    </row>
    <row r="66" spans="1:26">
      <c r="A66" s="62"/>
      <c r="B66" s="63" t="s">
        <v>63</v>
      </c>
      <c r="C66" s="63"/>
      <c r="D66" s="63"/>
      <c r="E66" s="63"/>
      <c r="F66" s="63"/>
      <c r="G66" s="63"/>
      <c r="H66" s="118"/>
      <c r="I66" s="118"/>
      <c r="J66" s="118">
        <f>SUM(J62,J65)</f>
        <v>0</v>
      </c>
      <c r="K66" s="118"/>
      <c r="L66" s="118"/>
      <c r="M66" s="118"/>
      <c r="N66" s="118"/>
      <c r="O66" s="118"/>
      <c r="P66" s="118">
        <f>SUM(P62,P65)</f>
        <v>0</v>
      </c>
      <c r="Q66" s="118">
        <f>SUM(Q62,Q65)</f>
        <v>0</v>
      </c>
      <c r="R66" s="118"/>
      <c r="S66" s="118"/>
      <c r="T66" s="118"/>
      <c r="U66" s="118"/>
      <c r="V66" s="118"/>
      <c r="W66" s="118"/>
      <c r="X66" s="118"/>
      <c r="Y66" s="123">
        <f>SUM(Y65,Y62)</f>
        <v>0</v>
      </c>
      <c r="Z66" s="114"/>
    </row>
    <row r="67" spans="1:26">
      <c r="A67" s="62"/>
      <c r="B67" s="119"/>
      <c r="C67" s="119"/>
      <c r="D67" s="119"/>
      <c r="E67" s="119"/>
      <c r="F67" s="119"/>
      <c r="G67" s="119"/>
      <c r="H67" s="120"/>
      <c r="I67" s="120"/>
      <c r="J67" s="120"/>
      <c r="K67" s="120"/>
      <c r="L67" s="120"/>
      <c r="M67" s="120"/>
      <c r="N67" s="120"/>
      <c r="O67" s="122"/>
      <c r="P67" s="120"/>
      <c r="Q67" s="120"/>
      <c r="R67" s="120"/>
      <c r="S67" s="120"/>
      <c r="T67" s="120"/>
      <c r="U67" s="120"/>
      <c r="V67" s="120"/>
      <c r="W67" s="120"/>
      <c r="X67" s="120"/>
      <c r="Y67" s="124"/>
      <c r="Z67" s="114"/>
    </row>
    <row r="69" ht="19.5" customHeight="1" spans="1:26">
      <c r="A69" s="121" t="s">
        <v>64</v>
      </c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</sheetData>
  <mergeCells count="37">
    <mergeCell ref="A1:Z1"/>
    <mergeCell ref="A2:Z2"/>
    <mergeCell ref="A3:Z3"/>
    <mergeCell ref="L4:M4"/>
    <mergeCell ref="A6:Z6"/>
    <mergeCell ref="A16:Y16"/>
    <mergeCell ref="A30:Z30"/>
    <mergeCell ref="A41:Z41"/>
    <mergeCell ref="A52:Z52"/>
    <mergeCell ref="A57:Z57"/>
    <mergeCell ref="A58:Z58"/>
    <mergeCell ref="A63:Z63"/>
    <mergeCell ref="A69:Z69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conditionalFormatting sqref="K7">
    <cfRule type="cellIs" dxfId="0" priority="8" stopIfTrue="1" operator="equal">
      <formula>0</formula>
    </cfRule>
    <cfRule type="cellIs" dxfId="0" priority="38" stopIfTrue="1" operator="equal">
      <formula>0</formula>
    </cfRule>
  </conditionalFormatting>
  <conditionalFormatting sqref="H8:N8">
    <cfRule type="cellIs" dxfId="0" priority="12" stopIfTrue="1" operator="equal">
      <formula>0</formula>
    </cfRule>
  </conditionalFormatting>
  <conditionalFormatting sqref="K8">
    <cfRule type="cellIs" dxfId="0" priority="28" stopIfTrue="1" operator="equal">
      <formula>0</formula>
    </cfRule>
  </conditionalFormatting>
  <conditionalFormatting sqref="H9:N9">
    <cfRule type="cellIs" dxfId="0" priority="48" stopIfTrue="1" operator="equal">
      <formula>0</formula>
    </cfRule>
  </conditionalFormatting>
  <conditionalFormatting sqref="J9">
    <cfRule type="cellIs" dxfId="0" priority="7" stopIfTrue="1" operator="equal">
      <formula>0</formula>
    </cfRule>
  </conditionalFormatting>
  <conditionalFormatting sqref="J10">
    <cfRule type="cellIs" dxfId="0" priority="15" stopIfTrue="1" operator="equal">
      <formula>0</formula>
    </cfRule>
  </conditionalFormatting>
  <conditionalFormatting sqref="J18">
    <cfRule type="cellIs" dxfId="0" priority="23" stopIfTrue="1" operator="equal">
      <formula>0</formula>
    </cfRule>
  </conditionalFormatting>
  <conditionalFormatting sqref="L18">
    <cfRule type="cellIs" dxfId="0" priority="22" stopIfTrue="1" operator="equal">
      <formula>0</formula>
    </cfRule>
  </conditionalFormatting>
  <conditionalFormatting sqref="N18">
    <cfRule type="cellIs" dxfId="0" priority="21" stopIfTrue="1" operator="equal">
      <formula>0</formula>
    </cfRule>
  </conditionalFormatting>
  <conditionalFormatting sqref="H19:I19">
    <cfRule type="cellIs" dxfId="0" priority="27" stopIfTrue="1" operator="equal">
      <formula>0</formula>
    </cfRule>
  </conditionalFormatting>
  <conditionalFormatting sqref="J19">
    <cfRule type="cellIs" dxfId="0" priority="20" stopIfTrue="1" operator="equal">
      <formula>0</formula>
    </cfRule>
  </conditionalFormatting>
  <conditionalFormatting sqref="L19">
    <cfRule type="cellIs" dxfId="0" priority="19" stopIfTrue="1" operator="equal">
      <formula>0</formula>
    </cfRule>
  </conditionalFormatting>
  <conditionalFormatting sqref="O19">
    <cfRule type="cellIs" dxfId="0" priority="17" stopIfTrue="1" operator="equal">
      <formula>0</formula>
    </cfRule>
  </conditionalFormatting>
  <conditionalFormatting sqref="M20">
    <cfRule type="cellIs" dxfId="0" priority="18" stopIfTrue="1" operator="equal">
      <formula>0</formula>
    </cfRule>
  </conditionalFormatting>
  <conditionalFormatting sqref="O20">
    <cfRule type="cellIs" dxfId="0" priority="16" stopIfTrue="1" operator="equal">
      <formula>0</formula>
    </cfRule>
  </conditionalFormatting>
  <conditionalFormatting sqref="H27:P27">
    <cfRule type="cellIs" dxfId="0" priority="46" stopIfTrue="1" operator="equal">
      <formula>0</formula>
    </cfRule>
  </conditionalFormatting>
  <conditionalFormatting sqref="P36:Q36">
    <cfRule type="cellIs" dxfId="0" priority="25" stopIfTrue="1" operator="equal">
      <formula>0</formula>
    </cfRule>
  </conditionalFormatting>
  <conditionalFormatting sqref="J38">
    <cfRule type="cellIs" dxfId="0" priority="5" stopIfTrue="1" operator="equal">
      <formula>0</formula>
    </cfRule>
  </conditionalFormatting>
  <conditionalFormatting sqref="K44">
    <cfRule type="cellIs" dxfId="0" priority="3" stopIfTrue="1" operator="equal">
      <formula>0</formula>
    </cfRule>
  </conditionalFormatting>
  <conditionalFormatting sqref="M44">
    <cfRule type="cellIs" dxfId="0" priority="2" stopIfTrue="1" operator="equal">
      <formula>0</formula>
    </cfRule>
  </conditionalFormatting>
  <conditionalFormatting sqref="O44">
    <cfRule type="cellIs" dxfId="0" priority="1" stopIfTrue="1" operator="equal">
      <formula>0</formula>
    </cfRule>
  </conditionalFormatting>
  <conditionalFormatting sqref="H48:Q48">
    <cfRule type="cellIs" dxfId="0" priority="39" stopIfTrue="1" operator="equal">
      <formula>0</formula>
    </cfRule>
  </conditionalFormatting>
  <conditionalFormatting sqref="K18:K19">
    <cfRule type="cellIs" dxfId="0" priority="32" stopIfTrue="1" operator="equal">
      <formula>0</formula>
    </cfRule>
  </conditionalFormatting>
  <conditionalFormatting sqref="K20:K22">
    <cfRule type="cellIs" dxfId="0" priority="30" stopIfTrue="1" operator="equal">
      <formula>0</formula>
    </cfRule>
  </conditionalFormatting>
  <conditionalFormatting sqref="H49:T49;R48:T48;R31:T39;H23:P26;H36:O36;H40:T40;P38:Q38;H37:Q37;H43:T43;P44:T47;H45:O45;H47:O47;L33:M33;P42:T42;K34:M35;H32:J35;P31:Q31;N32:Q35;K32:M32;H7:J7;L7:N7;L8">
    <cfRule type="cellIs" dxfId="0" priority="50" stopIfTrue="1" operator="equal">
      <formula>0</formula>
    </cfRule>
  </conditionalFormatting>
  <conditionalFormatting sqref="M7;H7:J7">
    <cfRule type="cellIs" dxfId="0" priority="9" stopIfTrue="1" operator="equal">
      <formula>0</formula>
    </cfRule>
  </conditionalFormatting>
  <conditionalFormatting sqref="M8;H8:J8">
    <cfRule type="cellIs" dxfId="0" priority="29" stopIfTrue="1" operator="equal">
      <formula>0</formula>
    </cfRule>
  </conditionalFormatting>
  <conditionalFormatting sqref="K9:N9;H9:I9">
    <cfRule type="cellIs" dxfId="0" priority="11" stopIfTrue="1" operator="equal">
      <formula>0</formula>
    </cfRule>
  </conditionalFormatting>
  <conditionalFormatting sqref="K10:N10;H10:I10">
    <cfRule type="cellIs" dxfId="0" priority="47" stopIfTrue="1" operator="equal">
      <formula>0</formula>
    </cfRule>
  </conditionalFormatting>
  <conditionalFormatting sqref="H18:I18;M19:N19;M18">
    <cfRule type="cellIs" dxfId="0" priority="33" stopIfTrue="1" operator="equal">
      <formula>0</formula>
    </cfRule>
  </conditionalFormatting>
  <conditionalFormatting sqref="L21:N22;L20;N20;H20:J22">
    <cfRule type="cellIs" dxfId="0" priority="31" stopIfTrue="1" operator="equal">
      <formula>0</formula>
    </cfRule>
  </conditionalFormatting>
  <conditionalFormatting sqref="L31:O31;H31:J31">
    <cfRule type="cellIs" dxfId="0" priority="13" stopIfTrue="1" operator="equal">
      <formula>0</formula>
    </cfRule>
  </conditionalFormatting>
  <conditionalFormatting sqref="K38:N38;H38:I38">
    <cfRule type="cellIs" dxfId="0" priority="6" stopIfTrue="1" operator="equal">
      <formula>0</formula>
    </cfRule>
  </conditionalFormatting>
  <conditionalFormatting sqref="L42:O42;H42:J42">
    <cfRule type="cellIs" dxfId="0" priority="14" stopIfTrue="1" operator="equal">
      <formula>0</formula>
    </cfRule>
  </conditionalFormatting>
  <conditionalFormatting sqref="L44;N44;H44:J44">
    <cfRule type="cellIs" dxfId="0" priority="4" stopIfTrue="1" operator="equal">
      <formula>0</formula>
    </cfRule>
  </conditionalFormatting>
  <pageMargins left="0.7" right="0.7" top="0.75" bottom="0.75" header="0.3" footer="0.3"/>
  <pageSetup paperSize="9" scale="70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карточка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Алексей Гукай</cp:lastModifiedBy>
  <dcterms:created xsi:type="dcterms:W3CDTF">2020-06-26T06:21:00Z</dcterms:created>
  <cp:lastPrinted>2020-08-11T12:51:00Z</cp:lastPrinted>
  <dcterms:modified xsi:type="dcterms:W3CDTF">2026-02-09T13:35:02Z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04AB35DBE8FD40ECAD3EAD110358DF9E_12</vt:lpwstr>
  </property>
  <property fmtid="{D5CDD505-2E9C-101B-9397-08002B2CF9AE}" pid="3" name="KSOProductBuildVer">
    <vt:lpwstr>1049-12.2.0.23196</vt:lpwstr>
  </property>
</Properties>
</file>